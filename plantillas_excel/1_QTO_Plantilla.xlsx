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ametros" sheetId="2" state="visible" r:id="rId4"/>
    <sheet name="QTO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<sst xmlns="http://schemas.openxmlformats.org/spreadsheetml/2006/main" count="69" uniqueCount="57">
  <si>
    <t xml:space="preserve">Planilla de Cantidades (QTO) - Plantilla</t>
  </si>
  <si>
    <t xml:space="preserve">Objetivo: registrar las cantidades extraídas del modelo BIM (Revit) y compararlas con el expediente técnico de referencia (RA1).</t>
  </si>
  <si>
    <t xml:space="preserve">Cómo usarla</t>
  </si>
  <si>
    <t xml:space="preserve">1. En la hoja 'Parametros' defina los niveles del proyecto y la tolerancia de diferencia aceptable (por defecto 5 %, supuesto editable).</t>
  </si>
  <si>
    <t xml:space="preserve">2. En 'QTO' registre una fila por elemento o grupo de elementos: código WBS, código OmniClass, nivel, rubro y la cantidad que arroja la tabla de planificación (schedule) de Revit.</t>
  </si>
  <si>
    <t xml:space="preserve">3. Escriba la cantidad del expediente técnico de referencia; la hoja calcula diferencia, % y estado (OK / Revisar / Sin referencia).</t>
  </si>
  <si>
    <t xml:space="preserve">4. 'Resumen' totaliza por rubro y nivel (SUMIFS) y compara contra el expediente. Use esos totales en el presupuesto.</t>
  </si>
  <si>
    <t xml:space="preserve">Rubros que pide la guía: concreto (columnas, vigas, losas, muros, cimentación), formaleta, acero de refuerzo, mampostería y acabados (pisos, muros, cielos).</t>
  </si>
  <si>
    <t xml:space="preserve">Las unidades se asignan solas según el rubro (hoja 'Parametros'). Hasta 200 filas de datos.</t>
  </si>
  <si>
    <t xml:space="preserve">Texto azul sobre fondo amarillo = celda que usted debe llenar</t>
  </si>
  <si>
    <t xml:space="preserve">Texto negro = fórmula (no la sobrescriba)</t>
  </si>
  <si>
    <t xml:space="preserve">Fondo verde = fila de EJEMPLO con datos ilustrativos: bórrela o reemplácela con sus datos</t>
  </si>
  <si>
    <t xml:space="preserve">Parámetros</t>
  </si>
  <si>
    <t xml:space="preserve">Edite solo las celdas amarillas</t>
  </si>
  <si>
    <t xml:space="preserve">Tolerancia de diferencia (%)</t>
  </si>
  <si>
    <t xml:space="preserve">Supuesto editable: diferencia máxima aceptada entre modelo y expediente.</t>
  </si>
  <si>
    <t xml:space="preserve">Niveles del proyecto</t>
  </si>
  <si>
    <t xml:space="preserve">Rubro</t>
  </si>
  <si>
    <t xml:space="preserve">Unidad</t>
  </si>
  <si>
    <t xml:space="preserve">Cimentación</t>
  </si>
  <si>
    <t xml:space="preserve">Concreto</t>
  </si>
  <si>
    <t xml:space="preserve">m³</t>
  </si>
  <si>
    <t xml:space="preserve">Nivel 1</t>
  </si>
  <si>
    <t xml:space="preserve">Formaleta</t>
  </si>
  <si>
    <t xml:space="preserve">m²</t>
  </si>
  <si>
    <t xml:space="preserve">Nivel 2</t>
  </si>
  <si>
    <t xml:space="preserve">Acero de refuerzo</t>
  </si>
  <si>
    <t xml:space="preserve">kg</t>
  </si>
  <si>
    <t xml:space="preserve">Cubierta</t>
  </si>
  <si>
    <t xml:space="preserve">Mampostería</t>
  </si>
  <si>
    <t xml:space="preserve">Acabados - Pisos</t>
  </si>
  <si>
    <t xml:space="preserve">Acabados - Muros</t>
  </si>
  <si>
    <t xml:space="preserve">Acabados - Cielos rasos</t>
  </si>
  <si>
    <t xml:space="preserve">Otro</t>
  </si>
  <si>
    <t xml:space="preserve">und</t>
  </si>
  <si>
    <t xml:space="preserve">QTO - Cantidades del modelo vs expediente técnico</t>
  </si>
  <si>
    <t xml:space="preserve">Una fila por elemento/grupo. Cantidades del modelo = schedules de Revit</t>
  </si>
  <si>
    <t xml:space="preserve">Código WBS</t>
  </si>
  <si>
    <t xml:space="preserve">Código OmniClass</t>
  </si>
  <si>
    <t xml:space="preserve">Nivel</t>
  </si>
  <si>
    <t xml:space="preserve">Elemento / ID Revit</t>
  </si>
  <si>
    <t xml:space="preserve">Familia y tipo</t>
  </si>
  <si>
    <t xml:space="preserve">Cantidad modelo</t>
  </si>
  <si>
    <t xml:space="preserve">Cantidad expediente</t>
  </si>
  <si>
    <t xml:space="preserve">Diferencia</t>
  </si>
  <si>
    <t xml:space="preserve">% Dif.</t>
  </si>
  <si>
    <t xml:space="preserve">Estado</t>
  </si>
  <si>
    <t xml:space="preserve">Observaciones</t>
  </si>
  <si>
    <t xml:space="preserve">2.2</t>
  </si>
  <si>
    <t xml:space="preserve">21-02 10 10 20</t>
  </si>
  <si>
    <t xml:space="preserve">Viga de cimentación VC-1 (ID 123456)</t>
  </si>
  <si>
    <t xml:space="preserve">Concrete-Rectangular Beam: 30x40</t>
  </si>
  <si>
    <t xml:space="preserve">EJEMPLO - borrar o reemplazar</t>
  </si>
  <si>
    <t xml:space="preserve">Resumen por rubro y nivel</t>
  </si>
  <si>
    <t xml:space="preserve">Cantidades del modelo (SUMIFS sobre la hoja QTO)</t>
  </si>
  <si>
    <t xml:space="preserve">Total modelo</t>
  </si>
  <si>
    <t xml:space="preserve">Total expediente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</si>
</sst>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5" t="s">
        <v>10</v>
      </c>
    </row>
    <row r="16" customFormat="false" ht="15" hidden="false" customHeight="false" outlineLevel="0" collapsed="false">
      <c r="A16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4"/>
    <col collapsed="false" customWidth="true" hidden="false" outlineLevel="0" max="6" min="6" style="0" width="28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7" t="s">
        <v>13</v>
      </c>
      <c r="D2" s="8"/>
    </row>
    <row r="3" customFormat="false" ht="15" hidden="false" customHeight="false" outlineLevel="0" collapsed="false">
      <c r="A3" s="8" t="s">
        <v>14</v>
      </c>
      <c r="B3" s="9" t="n">
        <v>0.05</v>
      </c>
      <c r="C3" s="7" t="s">
        <v>15</v>
      </c>
    </row>
    <row r="5" customFormat="false" ht="31.5" hidden="false" customHeight="true" outlineLevel="0" collapsed="false">
      <c r="A5" s="10"/>
      <c r="B5" s="10"/>
      <c r="C5" s="10"/>
      <c r="D5" s="11" t="s">
        <v>16</v>
      </c>
      <c r="E5" s="10"/>
      <c r="F5" s="11" t="s">
        <v>17</v>
      </c>
      <c r="G5" s="11" t="s">
        <v>18</v>
      </c>
    </row>
    <row r="6" customFormat="false" ht="15" hidden="false" customHeight="false" outlineLevel="0" collapsed="false">
      <c r="A6" s="12"/>
      <c r="B6" s="12"/>
      <c r="C6" s="12"/>
      <c r="D6" s="13" t="s">
        <v>19</v>
      </c>
      <c r="F6" s="13" t="s">
        <v>20</v>
      </c>
      <c r="G6" s="13" t="s">
        <v>21</v>
      </c>
    </row>
    <row r="7" customFormat="false" ht="15" hidden="false" customHeight="false" outlineLevel="0" collapsed="false">
      <c r="A7" s="12"/>
      <c r="B7" s="12"/>
      <c r="C7" s="12"/>
      <c r="D7" s="13" t="s">
        <v>22</v>
      </c>
      <c r="F7" s="13" t="s">
        <v>23</v>
      </c>
      <c r="G7" s="13" t="s">
        <v>24</v>
      </c>
    </row>
    <row r="8" customFormat="false" ht="15" hidden="false" customHeight="false" outlineLevel="0" collapsed="false">
      <c r="A8" s="12"/>
      <c r="B8" s="12"/>
      <c r="C8" s="12"/>
      <c r="D8" s="13" t="s">
        <v>25</v>
      </c>
      <c r="F8" s="13" t="s">
        <v>26</v>
      </c>
      <c r="G8" s="13" t="s">
        <v>27</v>
      </c>
    </row>
    <row r="9" customFormat="false" ht="15" hidden="false" customHeight="false" outlineLevel="0" collapsed="false">
      <c r="A9" s="12"/>
      <c r="B9" s="12"/>
      <c r="C9" s="12"/>
      <c r="D9" s="13" t="s">
        <v>28</v>
      </c>
      <c r="F9" s="13" t="s">
        <v>29</v>
      </c>
      <c r="G9" s="13" t="s">
        <v>21</v>
      </c>
    </row>
    <row r="10" customFormat="false" ht="15" hidden="false" customHeight="false" outlineLevel="0" collapsed="false">
      <c r="A10" s="12"/>
      <c r="B10" s="12"/>
      <c r="C10" s="12"/>
      <c r="D10" s="13"/>
      <c r="F10" s="13" t="s">
        <v>30</v>
      </c>
      <c r="G10" s="13" t="s">
        <v>24</v>
      </c>
    </row>
    <row r="11" customFormat="false" ht="15" hidden="false" customHeight="false" outlineLevel="0" collapsed="false">
      <c r="A11" s="12"/>
      <c r="B11" s="12"/>
      <c r="C11" s="12"/>
      <c r="D11" s="13"/>
      <c r="F11" s="13" t="s">
        <v>31</v>
      </c>
      <c r="G11" s="13" t="s">
        <v>24</v>
      </c>
    </row>
    <row r="12" customFormat="false" ht="15" hidden="false" customHeight="false" outlineLevel="0" collapsed="false">
      <c r="F12" s="13" t="s">
        <v>32</v>
      </c>
      <c r="G12" s="13" t="s">
        <v>24</v>
      </c>
    </row>
    <row r="13" customFormat="false" ht="15" hidden="false" customHeight="false" outlineLevel="0" collapsed="false">
      <c r="F13" s="13" t="s">
        <v>33</v>
      </c>
      <c r="G13" s="1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5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7" t="s">
        <v>36</v>
      </c>
    </row>
    <row r="5" customFormat="false" ht="31.5" hidden="false" customHeight="true" outlineLevel="0" collapsed="false">
      <c r="A5" s="11" t="s">
        <v>37</v>
      </c>
      <c r="B5" s="11" t="s">
        <v>38</v>
      </c>
      <c r="C5" s="11" t="s">
        <v>39</v>
      </c>
      <c r="D5" s="11" t="s">
        <v>17</v>
      </c>
      <c r="E5" s="11" t="s">
        <v>40</v>
      </c>
      <c r="F5" s="11" t="s">
        <v>41</v>
      </c>
      <c r="G5" s="11" t="s">
        <v>18</v>
      </c>
      <c r="H5" s="11" t="s">
        <v>42</v>
      </c>
      <c r="I5" s="11" t="s">
        <v>43</v>
      </c>
      <c r="J5" s="11" t="s">
        <v>44</v>
      </c>
      <c r="K5" s="11" t="s">
        <v>45</v>
      </c>
      <c r="L5" s="11" t="s">
        <v>46</v>
      </c>
      <c r="M5" s="11" t="s">
        <v>47</v>
      </c>
    </row>
    <row r="6" customFormat="false" ht="15" hidden="false" customHeight="false" outlineLevel="0" collapsed="false">
      <c r="A6" s="14" t="s">
        <v>48</v>
      </c>
      <c r="B6" s="14" t="s">
        <v>49</v>
      </c>
      <c r="C6" s="14" t="s">
        <v>19</v>
      </c>
      <c r="D6" s="14" t="s">
        <v>20</v>
      </c>
      <c r="E6" s="14" t="s">
        <v>50</v>
      </c>
      <c r="F6" s="14" t="s">
        <v>51</v>
      </c>
      <c r="G6" s="15" t="str">
        <f aca="false">IFERROR(INDEX(Parametros!$G$6:$G$13,MATCH(D6,Parametros!$F$6:$F$13,0)),"")</f>
        <v>m³</v>
      </c>
      <c r="H6" s="16" t="n">
        <v>12.4</v>
      </c>
      <c r="I6" s="16" t="n">
        <v>12</v>
      </c>
      <c r="J6" s="17" t="n">
        <f aca="false">IF(OR(H6="",I6=""),"",H6-I6)</f>
        <v>0.4</v>
      </c>
      <c r="K6" s="18" t="n">
        <f aca="false">IF(OR(J6="",I6=0),"",J6/I6)</f>
        <v>0.0333333333333334</v>
      </c>
      <c r="L6" s="15" t="str">
        <f aca="false">IF(H6="","",IF(I6="","Sin referencia",IF(ABS(K6)&lt;=Parametros!$B$3,"OK","Revisar")))</f>
        <v>OK</v>
      </c>
      <c r="M6" s="14" t="s">
        <v>52</v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2" t="str">
        <f aca="false">IFERROR(INDEX(Parametros!$G$6:$G$13,MATCH(D7,Parametros!$F$6:$F$13,0)),"")</f>
        <v/>
      </c>
      <c r="H7" s="19"/>
      <c r="I7" s="19"/>
      <c r="J7" s="20" t="str">
        <f aca="false">IF(OR(H7="",I7=""),"",H7-I7)</f>
        <v/>
      </c>
      <c r="K7" s="21" t="str">
        <f aca="false">IF(OR(J7="",I7=0),"",J7/I7)</f>
        <v/>
      </c>
      <c r="L7" s="12" t="str">
        <f aca="false">IF(H7="","",IF(I7="","Sin referencia",IF(ABS(K7)&lt;=Parametros!$B$3,"OK","Revisar")))</f>
        <v/>
      </c>
      <c r="M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2" t="str">
        <f aca="false">IFERROR(INDEX(Parametros!$G$6:$G$13,MATCH(D8,Parametros!$F$6:$F$13,0)),"")</f>
        <v/>
      </c>
      <c r="H8" s="19"/>
      <c r="I8" s="19"/>
      <c r="J8" s="20" t="str">
        <f aca="false">IF(OR(H8="",I8=""),"",H8-I8)</f>
        <v/>
      </c>
      <c r="K8" s="21" t="str">
        <f aca="false">IF(OR(J8="",I8=0),"",J8/I8)</f>
        <v/>
      </c>
      <c r="L8" s="12" t="str">
        <f aca="false">IF(H8="","",IF(I8="","Sin referencia",IF(ABS(K8)&lt;=Parametros!$B$3,"OK","Revisar")))</f>
        <v/>
      </c>
      <c r="M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2" t="str">
        <f aca="false">IFERROR(INDEX(Parametros!$G$6:$G$13,MATCH(D9,Parametros!$F$6:$F$13,0)),"")</f>
        <v/>
      </c>
      <c r="H9" s="19"/>
      <c r="I9" s="19"/>
      <c r="J9" s="20" t="str">
        <f aca="false">IF(OR(H9="",I9=""),"",H9-I9)</f>
        <v/>
      </c>
      <c r="K9" s="21" t="str">
        <f aca="false">IF(OR(J9="",I9=0),"",J9/I9)</f>
        <v/>
      </c>
      <c r="L9" s="12" t="str">
        <f aca="false">IF(H9="","",IF(I9="","Sin referencia",IF(ABS(K9)&lt;=Parametros!$B$3,"OK","Revisar")))</f>
        <v/>
      </c>
      <c r="M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2" t="str">
        <f aca="false">IFERROR(INDEX(Parametros!$G$6:$G$13,MATCH(D10,Parametros!$F$6:$F$13,0)),"")</f>
        <v/>
      </c>
      <c r="H10" s="19"/>
      <c r="I10" s="19"/>
      <c r="J10" s="20" t="str">
        <f aca="false">IF(OR(H10="",I10=""),"",H10-I10)</f>
        <v/>
      </c>
      <c r="K10" s="21" t="str">
        <f aca="false">IF(OR(J10="",I10=0),"",J10/I10)</f>
        <v/>
      </c>
      <c r="L10" s="12" t="str">
        <f aca="false">IF(H10="","",IF(I10="","Sin referencia",IF(ABS(K10)&lt;=Parametros!$B$3,"OK","Revisar")))</f>
        <v/>
      </c>
      <c r="M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2" t="str">
        <f aca="false">IFERROR(INDEX(Parametros!$G$6:$G$13,MATCH(D11,Parametros!$F$6:$F$13,0)),"")</f>
        <v/>
      </c>
      <c r="H11" s="19"/>
      <c r="I11" s="19"/>
      <c r="J11" s="20" t="str">
        <f aca="false">IF(OR(H11="",I11=""),"",H11-I11)</f>
        <v/>
      </c>
      <c r="K11" s="21" t="str">
        <f aca="false">IF(OR(J11="",I11=0),"",J11/I11)</f>
        <v/>
      </c>
      <c r="L11" s="12" t="str">
        <f aca="false">IF(H11="","",IF(I11="","Sin referencia",IF(ABS(K11)&lt;=Parametros!$B$3,"OK","Revisar")))</f>
        <v/>
      </c>
      <c r="M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2" t="str">
        <f aca="false">IFERROR(INDEX(Parametros!$G$6:$G$13,MATCH(D12,Parametros!$F$6:$F$13,0)),"")</f>
        <v/>
      </c>
      <c r="H12" s="19"/>
      <c r="I12" s="19"/>
      <c r="J12" s="20" t="str">
        <f aca="false">IF(OR(H12="",I12=""),"",H12-I12)</f>
        <v/>
      </c>
      <c r="K12" s="21" t="str">
        <f aca="false">IF(OR(J12="",I12=0),"",J12/I12)</f>
        <v/>
      </c>
      <c r="L12" s="12" t="str">
        <f aca="false">IF(H12="","",IF(I12="","Sin referencia",IF(ABS(K12)&lt;=Parametros!$B$3,"OK","Revisar")))</f>
        <v/>
      </c>
      <c r="M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2" t="str">
        <f aca="false">IFERROR(INDEX(Parametros!$G$6:$G$13,MATCH(D13,Parametros!$F$6:$F$13,0)),"")</f>
        <v/>
      </c>
      <c r="H13" s="19"/>
      <c r="I13" s="19"/>
      <c r="J13" s="20" t="str">
        <f aca="false">IF(OR(H13="",I13=""),"",H13-I13)</f>
        <v/>
      </c>
      <c r="K13" s="21" t="str">
        <f aca="false">IF(OR(J13="",I13=0),"",J13/I13)</f>
        <v/>
      </c>
      <c r="L13" s="12" t="str">
        <f aca="false">IF(H13="","",IF(I13="","Sin referencia",IF(ABS(K13)&lt;=Parametros!$B$3,"OK","Revisar")))</f>
        <v/>
      </c>
      <c r="M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2" t="str">
        <f aca="false">IFERROR(INDEX(Parametros!$G$6:$G$13,MATCH(D14,Parametros!$F$6:$F$13,0)),"")</f>
        <v/>
      </c>
      <c r="H14" s="19"/>
      <c r="I14" s="19"/>
      <c r="J14" s="20" t="str">
        <f aca="false">IF(OR(H14="",I14=""),"",H14-I14)</f>
        <v/>
      </c>
      <c r="K14" s="21" t="str">
        <f aca="false">IF(OR(J14="",I14=0),"",J14/I14)</f>
        <v/>
      </c>
      <c r="L14" s="12" t="str">
        <f aca="false">IF(H14="","",IF(I14="","Sin referencia",IF(ABS(K14)&lt;=Parametros!$B$3,"OK","Revisar")))</f>
        <v/>
      </c>
      <c r="M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2" t="str">
        <f aca="false">IFERROR(INDEX(Parametros!$G$6:$G$13,MATCH(D15,Parametros!$F$6:$F$13,0)),"")</f>
        <v/>
      </c>
      <c r="H15" s="19"/>
      <c r="I15" s="19"/>
      <c r="J15" s="20" t="str">
        <f aca="false">IF(OR(H15="",I15=""),"",H15-I15)</f>
        <v/>
      </c>
      <c r="K15" s="21" t="str">
        <f aca="false">IF(OR(J15="",I15=0),"",J15/I15)</f>
        <v/>
      </c>
      <c r="L15" s="12" t="str">
        <f aca="false">IF(H15="","",IF(I15="","Sin referencia",IF(ABS(K15)&lt;=Parametros!$B$3,"OK","Revisar")))</f>
        <v/>
      </c>
      <c r="M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2" t="str">
        <f aca="false">IFERROR(INDEX(Parametros!$G$6:$G$13,MATCH(D16,Parametros!$F$6:$F$13,0)),"")</f>
        <v/>
      </c>
      <c r="H16" s="19"/>
      <c r="I16" s="19"/>
      <c r="J16" s="20" t="str">
        <f aca="false">IF(OR(H16="",I16=""),"",H16-I16)</f>
        <v/>
      </c>
      <c r="K16" s="21" t="str">
        <f aca="false">IF(OR(J16="",I16=0),"",J16/I16)</f>
        <v/>
      </c>
      <c r="L16" s="12" t="str">
        <f aca="false">IF(H16="","",IF(I16="","Sin referencia",IF(ABS(K16)&lt;=Parametros!$B$3,"OK","Revisar")))</f>
        <v/>
      </c>
      <c r="M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2" t="str">
        <f aca="false">IFERROR(INDEX(Parametros!$G$6:$G$13,MATCH(D17,Parametros!$F$6:$F$13,0)),"")</f>
        <v/>
      </c>
      <c r="H17" s="19"/>
      <c r="I17" s="19"/>
      <c r="J17" s="20" t="str">
        <f aca="false">IF(OR(H17="",I17=""),"",H17-I17)</f>
        <v/>
      </c>
      <c r="K17" s="21" t="str">
        <f aca="false">IF(OR(J17="",I17=0),"",J17/I17)</f>
        <v/>
      </c>
      <c r="L17" s="12" t="str">
        <f aca="false">IF(H17="","",IF(I17="","Sin referencia",IF(ABS(K17)&lt;=Parametros!$B$3,"OK","Revisar")))</f>
        <v/>
      </c>
      <c r="M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2" t="str">
        <f aca="false">IFERROR(INDEX(Parametros!$G$6:$G$13,MATCH(D18,Parametros!$F$6:$F$13,0)),"")</f>
        <v/>
      </c>
      <c r="H18" s="19"/>
      <c r="I18" s="19"/>
      <c r="J18" s="20" t="str">
        <f aca="false">IF(OR(H18="",I18=""),"",H18-I18)</f>
        <v/>
      </c>
      <c r="K18" s="21" t="str">
        <f aca="false">IF(OR(J18="",I18=0),"",J18/I18)</f>
        <v/>
      </c>
      <c r="L18" s="12" t="str">
        <f aca="false">IF(H18="","",IF(I18="","Sin referencia",IF(ABS(K18)&lt;=Parametros!$B$3,"OK","Revisar")))</f>
        <v/>
      </c>
      <c r="M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2" t="str">
        <f aca="false">IFERROR(INDEX(Parametros!$G$6:$G$13,MATCH(D19,Parametros!$F$6:$F$13,0)),"")</f>
        <v/>
      </c>
      <c r="H19" s="19"/>
      <c r="I19" s="19"/>
      <c r="J19" s="20" t="str">
        <f aca="false">IF(OR(H19="",I19=""),"",H19-I19)</f>
        <v/>
      </c>
      <c r="K19" s="21" t="str">
        <f aca="false">IF(OR(J19="",I19=0),"",J19/I19)</f>
        <v/>
      </c>
      <c r="L19" s="12" t="str">
        <f aca="false">IF(H19="","",IF(I19="","Sin referencia",IF(ABS(K19)&lt;=Parametros!$B$3,"OK","Revisar")))</f>
        <v/>
      </c>
      <c r="M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2" t="str">
        <f aca="false">IFERROR(INDEX(Parametros!$G$6:$G$13,MATCH(D20,Parametros!$F$6:$F$13,0)),"")</f>
        <v/>
      </c>
      <c r="H20" s="19"/>
      <c r="I20" s="19"/>
      <c r="J20" s="20" t="str">
        <f aca="false">IF(OR(H20="",I20=""),"",H20-I20)</f>
        <v/>
      </c>
      <c r="K20" s="21" t="str">
        <f aca="false">IF(OR(J20="",I20=0),"",J20/I20)</f>
        <v/>
      </c>
      <c r="L20" s="12" t="str">
        <f aca="false">IF(H20="","",IF(I20="","Sin referencia",IF(ABS(K20)&lt;=Parametros!$B$3,"OK","Revisar")))</f>
        <v/>
      </c>
      <c r="M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2" t="str">
        <f aca="false">IFERROR(INDEX(Parametros!$G$6:$G$13,MATCH(D21,Parametros!$F$6:$F$13,0)),"")</f>
        <v/>
      </c>
      <c r="H21" s="19"/>
      <c r="I21" s="19"/>
      <c r="J21" s="20" t="str">
        <f aca="false">IF(OR(H21="",I21=""),"",H21-I21)</f>
        <v/>
      </c>
      <c r="K21" s="21" t="str">
        <f aca="false">IF(OR(J21="",I21=0),"",J21/I21)</f>
        <v/>
      </c>
      <c r="L21" s="12" t="str">
        <f aca="false">IF(H21="","",IF(I21="","Sin referencia",IF(ABS(K21)&lt;=Parametros!$B$3,"OK","Revisar")))</f>
        <v/>
      </c>
      <c r="M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2" t="str">
        <f aca="false">IFERROR(INDEX(Parametros!$G$6:$G$13,MATCH(D22,Parametros!$F$6:$F$13,0)),"")</f>
        <v/>
      </c>
      <c r="H22" s="19"/>
      <c r="I22" s="19"/>
      <c r="J22" s="20" t="str">
        <f aca="false">IF(OR(H22="",I22=""),"",H22-I22)</f>
        <v/>
      </c>
      <c r="K22" s="21" t="str">
        <f aca="false">IF(OR(J22="",I22=0),"",J22/I22)</f>
        <v/>
      </c>
      <c r="L22" s="12" t="str">
        <f aca="false">IF(H22="","",IF(I22="","Sin referencia",IF(ABS(K22)&lt;=Parametros!$B$3,"OK","Revisar")))</f>
        <v/>
      </c>
      <c r="M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2" t="str">
        <f aca="false">IFERROR(INDEX(Parametros!$G$6:$G$13,MATCH(D23,Parametros!$F$6:$F$13,0)),"")</f>
        <v/>
      </c>
      <c r="H23" s="19"/>
      <c r="I23" s="19"/>
      <c r="J23" s="20" t="str">
        <f aca="false">IF(OR(H23="",I23=""),"",H23-I23)</f>
        <v/>
      </c>
      <c r="K23" s="21" t="str">
        <f aca="false">IF(OR(J23="",I23=0),"",J23/I23)</f>
        <v/>
      </c>
      <c r="L23" s="12" t="str">
        <f aca="false">IF(H23="","",IF(I23="","Sin referencia",IF(ABS(K23)&lt;=Parametros!$B$3,"OK","Revisar")))</f>
        <v/>
      </c>
      <c r="M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2" t="str">
        <f aca="false">IFERROR(INDEX(Parametros!$G$6:$G$13,MATCH(D24,Parametros!$F$6:$F$13,0)),"")</f>
        <v/>
      </c>
      <c r="H24" s="19"/>
      <c r="I24" s="19"/>
      <c r="J24" s="20" t="str">
        <f aca="false">IF(OR(H24="",I24=""),"",H24-I24)</f>
        <v/>
      </c>
      <c r="K24" s="21" t="str">
        <f aca="false">IF(OR(J24="",I24=0),"",J24/I24)</f>
        <v/>
      </c>
      <c r="L24" s="12" t="str">
        <f aca="false">IF(H24="","",IF(I24="","Sin referencia",IF(ABS(K24)&lt;=Parametros!$B$3,"OK","Revisar")))</f>
        <v/>
      </c>
      <c r="M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2" t="str">
        <f aca="false">IFERROR(INDEX(Parametros!$G$6:$G$13,MATCH(D25,Parametros!$F$6:$F$13,0)),"")</f>
        <v/>
      </c>
      <c r="H25" s="19"/>
      <c r="I25" s="19"/>
      <c r="J25" s="20" t="str">
        <f aca="false">IF(OR(H25="",I25=""),"",H25-I25)</f>
        <v/>
      </c>
      <c r="K25" s="21" t="str">
        <f aca="false">IF(OR(J25="",I25=0),"",J25/I25)</f>
        <v/>
      </c>
      <c r="L25" s="12" t="str">
        <f aca="false">IF(H25="","",IF(I25="","Sin referencia",IF(ABS(K25)&lt;=Parametros!$B$3,"OK","Revisar")))</f>
        <v/>
      </c>
      <c r="M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2" t="str">
        <f aca="false">IFERROR(INDEX(Parametros!$G$6:$G$13,MATCH(D26,Parametros!$F$6:$F$13,0)),"")</f>
        <v/>
      </c>
      <c r="H26" s="19"/>
      <c r="I26" s="19"/>
      <c r="J26" s="20" t="str">
        <f aca="false">IF(OR(H26="",I26=""),"",H26-I26)</f>
        <v/>
      </c>
      <c r="K26" s="21" t="str">
        <f aca="false">IF(OR(J26="",I26=0),"",J26/I26)</f>
        <v/>
      </c>
      <c r="L26" s="12" t="str">
        <f aca="false">IF(H26="","",IF(I26="","Sin referencia",IF(ABS(K26)&lt;=Parametros!$B$3,"OK","Revisar")))</f>
        <v/>
      </c>
      <c r="M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2" t="str">
        <f aca="false">IFERROR(INDEX(Parametros!$G$6:$G$13,MATCH(D27,Parametros!$F$6:$F$13,0)),"")</f>
        <v/>
      </c>
      <c r="H27" s="19"/>
      <c r="I27" s="19"/>
      <c r="J27" s="20" t="str">
        <f aca="false">IF(OR(H27="",I27=""),"",H27-I27)</f>
        <v/>
      </c>
      <c r="K27" s="21" t="str">
        <f aca="false">IF(OR(J27="",I27=0),"",J27/I27)</f>
        <v/>
      </c>
      <c r="L27" s="12" t="str">
        <f aca="false">IF(H27="","",IF(I27="","Sin referencia",IF(ABS(K27)&lt;=Parametros!$B$3,"OK","Revisar")))</f>
        <v/>
      </c>
      <c r="M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2" t="str">
        <f aca="false">IFERROR(INDEX(Parametros!$G$6:$G$13,MATCH(D28,Parametros!$F$6:$F$13,0)),"")</f>
        <v/>
      </c>
      <c r="H28" s="19"/>
      <c r="I28" s="19"/>
      <c r="J28" s="20" t="str">
        <f aca="false">IF(OR(H28="",I28=""),"",H28-I28)</f>
        <v/>
      </c>
      <c r="K28" s="21" t="str">
        <f aca="false">IF(OR(J28="",I28=0),"",J28/I28)</f>
        <v/>
      </c>
      <c r="L28" s="12" t="str">
        <f aca="false">IF(H28="","",IF(I28="","Sin referencia",IF(ABS(K28)&lt;=Parametros!$B$3,"OK","Revisar")))</f>
        <v/>
      </c>
      <c r="M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2" t="str">
        <f aca="false">IFERROR(INDEX(Parametros!$G$6:$G$13,MATCH(D29,Parametros!$F$6:$F$13,0)),"")</f>
        <v/>
      </c>
      <c r="H29" s="19"/>
      <c r="I29" s="19"/>
      <c r="J29" s="20" t="str">
        <f aca="false">IF(OR(H29="",I29=""),"",H29-I29)</f>
        <v/>
      </c>
      <c r="K29" s="21" t="str">
        <f aca="false">IF(OR(J29="",I29=0),"",J29/I29)</f>
        <v/>
      </c>
      <c r="L29" s="12" t="str">
        <f aca="false">IF(H29="","",IF(I29="","Sin referencia",IF(ABS(K29)&lt;=Parametros!$B$3,"OK","Revisar")))</f>
        <v/>
      </c>
      <c r="M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2" t="str">
        <f aca="false">IFERROR(INDEX(Parametros!$G$6:$G$13,MATCH(D30,Parametros!$F$6:$F$13,0)),"")</f>
        <v/>
      </c>
      <c r="H30" s="19"/>
      <c r="I30" s="19"/>
      <c r="J30" s="20" t="str">
        <f aca="false">IF(OR(H30="",I30=""),"",H30-I30)</f>
        <v/>
      </c>
      <c r="K30" s="21" t="str">
        <f aca="false">IF(OR(J30="",I30=0),"",J30/I30)</f>
        <v/>
      </c>
      <c r="L30" s="12" t="str">
        <f aca="false">IF(H30="","",IF(I30="","Sin referencia",IF(ABS(K30)&lt;=Parametros!$B$3,"OK","Revisar")))</f>
        <v/>
      </c>
      <c r="M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2" t="str">
        <f aca="false">IFERROR(INDEX(Parametros!$G$6:$G$13,MATCH(D31,Parametros!$F$6:$F$13,0)),"")</f>
        <v/>
      </c>
      <c r="H31" s="19"/>
      <c r="I31" s="19"/>
      <c r="J31" s="20" t="str">
        <f aca="false">IF(OR(H31="",I31=""),"",H31-I31)</f>
        <v/>
      </c>
      <c r="K31" s="21" t="str">
        <f aca="false">IF(OR(J31="",I31=0),"",J31/I31)</f>
        <v/>
      </c>
      <c r="L31" s="12" t="str">
        <f aca="false">IF(H31="","",IF(I31="","Sin referencia",IF(ABS(K31)&lt;=Parametros!$B$3,"OK","Revisar")))</f>
        <v/>
      </c>
      <c r="M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2" t="str">
        <f aca="false">IFERROR(INDEX(Parametros!$G$6:$G$13,MATCH(D32,Parametros!$F$6:$F$13,0)),"")</f>
        <v/>
      </c>
      <c r="H32" s="19"/>
      <c r="I32" s="19"/>
      <c r="J32" s="20" t="str">
        <f aca="false">IF(OR(H32="",I32=""),"",H32-I32)</f>
        <v/>
      </c>
      <c r="K32" s="21" t="str">
        <f aca="false">IF(OR(J32="",I32=0),"",J32/I32)</f>
        <v/>
      </c>
      <c r="L32" s="12" t="str">
        <f aca="false">IF(H32="","",IF(I32="","Sin referencia",IF(ABS(K32)&lt;=Parametros!$B$3,"OK","Revisar")))</f>
        <v/>
      </c>
      <c r="M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2" t="str">
        <f aca="false">IFERROR(INDEX(Parametros!$G$6:$G$13,MATCH(D33,Parametros!$F$6:$F$13,0)),"")</f>
        <v/>
      </c>
      <c r="H33" s="19"/>
      <c r="I33" s="19"/>
      <c r="J33" s="20" t="str">
        <f aca="false">IF(OR(H33="",I33=""),"",H33-I33)</f>
        <v/>
      </c>
      <c r="K33" s="21" t="str">
        <f aca="false">IF(OR(J33="",I33=0),"",J33/I33)</f>
        <v/>
      </c>
      <c r="L33" s="12" t="str">
        <f aca="false">IF(H33="","",IF(I33="","Sin referencia",IF(ABS(K33)&lt;=Parametros!$B$3,"OK","Revisar")))</f>
        <v/>
      </c>
      <c r="M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2" t="str">
        <f aca="false">IFERROR(INDEX(Parametros!$G$6:$G$13,MATCH(D34,Parametros!$F$6:$F$13,0)),"")</f>
        <v/>
      </c>
      <c r="H34" s="19"/>
      <c r="I34" s="19"/>
      <c r="J34" s="20" t="str">
        <f aca="false">IF(OR(H34="",I34=""),"",H34-I34)</f>
        <v/>
      </c>
      <c r="K34" s="21" t="str">
        <f aca="false">IF(OR(J34="",I34=0),"",J34/I34)</f>
        <v/>
      </c>
      <c r="L34" s="12" t="str">
        <f aca="false">IF(H34="","",IF(I34="","Sin referencia",IF(ABS(K34)&lt;=Parametros!$B$3,"OK","Revisar")))</f>
        <v/>
      </c>
      <c r="M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2" t="str">
        <f aca="false">IFERROR(INDEX(Parametros!$G$6:$G$13,MATCH(D35,Parametros!$F$6:$F$13,0)),"")</f>
        <v/>
      </c>
      <c r="H35" s="19"/>
      <c r="I35" s="19"/>
      <c r="J35" s="20" t="str">
        <f aca="false">IF(OR(H35="",I35=""),"",H35-I35)</f>
        <v/>
      </c>
      <c r="K35" s="21" t="str">
        <f aca="false">IF(OR(J35="",I35=0),"",J35/I35)</f>
        <v/>
      </c>
      <c r="L35" s="12" t="str">
        <f aca="false">IF(H35="","",IF(I35="","Sin referencia",IF(ABS(K35)&lt;=Parametros!$B$3,"OK","Revisar")))</f>
        <v/>
      </c>
      <c r="M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2" t="str">
        <f aca="false">IFERROR(INDEX(Parametros!$G$6:$G$13,MATCH(D36,Parametros!$F$6:$F$13,0)),"")</f>
        <v/>
      </c>
      <c r="H36" s="19"/>
      <c r="I36" s="19"/>
      <c r="J36" s="20" t="str">
        <f aca="false">IF(OR(H36="",I36=""),"",H36-I36)</f>
        <v/>
      </c>
      <c r="K36" s="21" t="str">
        <f aca="false">IF(OR(J36="",I36=0),"",J36/I36)</f>
        <v/>
      </c>
      <c r="L36" s="12" t="str">
        <f aca="false">IF(H36="","",IF(I36="","Sin referencia",IF(ABS(K36)&lt;=Parametros!$B$3,"OK","Revisar")))</f>
        <v/>
      </c>
      <c r="M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2" t="str">
        <f aca="false">IFERROR(INDEX(Parametros!$G$6:$G$13,MATCH(D37,Parametros!$F$6:$F$13,0)),"")</f>
        <v/>
      </c>
      <c r="H37" s="19"/>
      <c r="I37" s="19"/>
      <c r="J37" s="20" t="str">
        <f aca="false">IF(OR(H37="",I37=""),"",H37-I37)</f>
        <v/>
      </c>
      <c r="K37" s="21" t="str">
        <f aca="false">IF(OR(J37="",I37=0),"",J37/I37)</f>
        <v/>
      </c>
      <c r="L37" s="12" t="str">
        <f aca="false">IF(H37="","",IF(I37="","Sin referencia",IF(ABS(K37)&lt;=Parametros!$B$3,"OK","Revisar")))</f>
        <v/>
      </c>
      <c r="M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2" t="str">
        <f aca="false">IFERROR(INDEX(Parametros!$G$6:$G$13,MATCH(D38,Parametros!$F$6:$F$13,0)),"")</f>
        <v/>
      </c>
      <c r="H38" s="19"/>
      <c r="I38" s="19"/>
      <c r="J38" s="20" t="str">
        <f aca="false">IF(OR(H38="",I38=""),"",H38-I38)</f>
        <v/>
      </c>
      <c r="K38" s="21" t="str">
        <f aca="false">IF(OR(J38="",I38=0),"",J38/I38)</f>
        <v/>
      </c>
      <c r="L38" s="12" t="str">
        <f aca="false">IF(H38="","",IF(I38="","Sin referencia",IF(ABS(K38)&lt;=Parametros!$B$3,"OK","Revisar")))</f>
        <v/>
      </c>
      <c r="M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2" t="str">
        <f aca="false">IFERROR(INDEX(Parametros!$G$6:$G$13,MATCH(D39,Parametros!$F$6:$F$13,0)),"")</f>
        <v/>
      </c>
      <c r="H39" s="19"/>
      <c r="I39" s="19"/>
      <c r="J39" s="20" t="str">
        <f aca="false">IF(OR(H39="",I39=""),"",H39-I39)</f>
        <v/>
      </c>
      <c r="K39" s="21" t="str">
        <f aca="false">IF(OR(J39="",I39=0),"",J39/I39)</f>
        <v/>
      </c>
      <c r="L39" s="12" t="str">
        <f aca="false">IF(H39="","",IF(I39="","Sin referencia",IF(ABS(K39)&lt;=Parametros!$B$3,"OK","Revisar")))</f>
        <v/>
      </c>
      <c r="M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2" t="str">
        <f aca="false">IFERROR(INDEX(Parametros!$G$6:$G$13,MATCH(D40,Parametros!$F$6:$F$13,0)),"")</f>
        <v/>
      </c>
      <c r="H40" s="19"/>
      <c r="I40" s="19"/>
      <c r="J40" s="20" t="str">
        <f aca="false">IF(OR(H40="",I40=""),"",H40-I40)</f>
        <v/>
      </c>
      <c r="K40" s="21" t="str">
        <f aca="false">IF(OR(J40="",I40=0),"",J40/I40)</f>
        <v/>
      </c>
      <c r="L40" s="12" t="str">
        <f aca="false">IF(H40="","",IF(I40="","Sin referencia",IF(ABS(K40)&lt;=Parametros!$B$3,"OK","Revisar")))</f>
        <v/>
      </c>
      <c r="M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2" t="str">
        <f aca="false">IFERROR(INDEX(Parametros!$G$6:$G$13,MATCH(D41,Parametros!$F$6:$F$13,0)),"")</f>
        <v/>
      </c>
      <c r="H41" s="19"/>
      <c r="I41" s="19"/>
      <c r="J41" s="20" t="str">
        <f aca="false">IF(OR(H41="",I41=""),"",H41-I41)</f>
        <v/>
      </c>
      <c r="K41" s="21" t="str">
        <f aca="false">IF(OR(J41="",I41=0),"",J41/I41)</f>
        <v/>
      </c>
      <c r="L41" s="12" t="str">
        <f aca="false">IF(H41="","",IF(I41="","Sin referencia",IF(ABS(K41)&lt;=Parametros!$B$3,"OK","Revisar")))</f>
        <v/>
      </c>
      <c r="M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2" t="str">
        <f aca="false">IFERROR(INDEX(Parametros!$G$6:$G$13,MATCH(D42,Parametros!$F$6:$F$13,0)),"")</f>
        <v/>
      </c>
      <c r="H42" s="19"/>
      <c r="I42" s="19"/>
      <c r="J42" s="20" t="str">
        <f aca="false">IF(OR(H42="",I42=""),"",H42-I42)</f>
        <v/>
      </c>
      <c r="K42" s="21" t="str">
        <f aca="false">IF(OR(J42="",I42=0),"",J42/I42)</f>
        <v/>
      </c>
      <c r="L42" s="12" t="str">
        <f aca="false">IF(H42="","",IF(I42="","Sin referencia",IF(ABS(K42)&lt;=Parametros!$B$3,"OK","Revisar")))</f>
        <v/>
      </c>
      <c r="M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2" t="str">
        <f aca="false">IFERROR(INDEX(Parametros!$G$6:$G$13,MATCH(D43,Parametros!$F$6:$F$13,0)),"")</f>
        <v/>
      </c>
      <c r="H43" s="19"/>
      <c r="I43" s="19"/>
      <c r="J43" s="20" t="str">
        <f aca="false">IF(OR(H43="",I43=""),"",H43-I43)</f>
        <v/>
      </c>
      <c r="K43" s="21" t="str">
        <f aca="false">IF(OR(J43="",I43=0),"",J43/I43)</f>
        <v/>
      </c>
      <c r="L43" s="12" t="str">
        <f aca="false">IF(H43="","",IF(I43="","Sin referencia",IF(ABS(K43)&lt;=Parametros!$B$3,"OK","Revisar")))</f>
        <v/>
      </c>
      <c r="M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2" t="str">
        <f aca="false">IFERROR(INDEX(Parametros!$G$6:$G$13,MATCH(D44,Parametros!$F$6:$F$13,0)),"")</f>
        <v/>
      </c>
      <c r="H44" s="19"/>
      <c r="I44" s="19"/>
      <c r="J44" s="20" t="str">
        <f aca="false">IF(OR(H44="",I44=""),"",H44-I44)</f>
        <v/>
      </c>
      <c r="K44" s="21" t="str">
        <f aca="false">IF(OR(J44="",I44=0),"",J44/I44)</f>
        <v/>
      </c>
      <c r="L44" s="12" t="str">
        <f aca="false">IF(H44="","",IF(I44="","Sin referencia",IF(ABS(K44)&lt;=Parametros!$B$3,"OK","Revisar")))</f>
        <v/>
      </c>
      <c r="M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2" t="str">
        <f aca="false">IFERROR(INDEX(Parametros!$G$6:$G$13,MATCH(D45,Parametros!$F$6:$F$13,0)),"")</f>
        <v/>
      </c>
      <c r="H45" s="19"/>
      <c r="I45" s="19"/>
      <c r="J45" s="20" t="str">
        <f aca="false">IF(OR(H45="",I45=""),"",H45-I45)</f>
        <v/>
      </c>
      <c r="K45" s="21" t="str">
        <f aca="false">IF(OR(J45="",I45=0),"",J45/I45)</f>
        <v/>
      </c>
      <c r="L45" s="12" t="str">
        <f aca="false">IF(H45="","",IF(I45="","Sin referencia",IF(ABS(K45)&lt;=Parametros!$B$3,"OK","Revisar")))</f>
        <v/>
      </c>
      <c r="M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2" t="str">
        <f aca="false">IFERROR(INDEX(Parametros!$G$6:$G$13,MATCH(D46,Parametros!$F$6:$F$13,0)),"")</f>
        <v/>
      </c>
      <c r="H46" s="19"/>
      <c r="I46" s="19"/>
      <c r="J46" s="20" t="str">
        <f aca="false">IF(OR(H46="",I46=""),"",H46-I46)</f>
        <v/>
      </c>
      <c r="K46" s="21" t="str">
        <f aca="false">IF(OR(J46="",I46=0),"",J46/I46)</f>
        <v/>
      </c>
      <c r="L46" s="12" t="str">
        <f aca="false">IF(H46="","",IF(I46="","Sin referencia",IF(ABS(K46)&lt;=Parametros!$B$3,"OK","Revisar")))</f>
        <v/>
      </c>
      <c r="M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2" t="str">
        <f aca="false">IFERROR(INDEX(Parametros!$G$6:$G$13,MATCH(D47,Parametros!$F$6:$F$13,0)),"")</f>
        <v/>
      </c>
      <c r="H47" s="19"/>
      <c r="I47" s="19"/>
      <c r="J47" s="20" t="str">
        <f aca="false">IF(OR(H47="",I47=""),"",H47-I47)</f>
        <v/>
      </c>
      <c r="K47" s="21" t="str">
        <f aca="false">IF(OR(J47="",I47=0),"",J47/I47)</f>
        <v/>
      </c>
      <c r="L47" s="12" t="str">
        <f aca="false">IF(H47="","",IF(I47="","Sin referencia",IF(ABS(K47)&lt;=Parametros!$B$3,"OK","Revisar")))</f>
        <v/>
      </c>
      <c r="M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2" t="str">
        <f aca="false">IFERROR(INDEX(Parametros!$G$6:$G$13,MATCH(D48,Parametros!$F$6:$F$13,0)),"")</f>
        <v/>
      </c>
      <c r="H48" s="19"/>
      <c r="I48" s="19"/>
      <c r="J48" s="20" t="str">
        <f aca="false">IF(OR(H48="",I48=""),"",H48-I48)</f>
        <v/>
      </c>
      <c r="K48" s="21" t="str">
        <f aca="false">IF(OR(J48="",I48=0),"",J48/I48)</f>
        <v/>
      </c>
      <c r="L48" s="12" t="str">
        <f aca="false">IF(H48="","",IF(I48="","Sin referencia",IF(ABS(K48)&lt;=Parametros!$B$3,"OK","Revisar")))</f>
        <v/>
      </c>
      <c r="M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2" t="str">
        <f aca="false">IFERROR(INDEX(Parametros!$G$6:$G$13,MATCH(D49,Parametros!$F$6:$F$13,0)),"")</f>
        <v/>
      </c>
      <c r="H49" s="19"/>
      <c r="I49" s="19"/>
      <c r="J49" s="20" t="str">
        <f aca="false">IF(OR(H49="",I49=""),"",H49-I49)</f>
        <v/>
      </c>
      <c r="K49" s="21" t="str">
        <f aca="false">IF(OR(J49="",I49=0),"",J49/I49)</f>
        <v/>
      </c>
      <c r="L49" s="12" t="str">
        <f aca="false">IF(H49="","",IF(I49="","Sin referencia",IF(ABS(K49)&lt;=Parametros!$B$3,"OK","Revisar")))</f>
        <v/>
      </c>
      <c r="M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2" t="str">
        <f aca="false">IFERROR(INDEX(Parametros!$G$6:$G$13,MATCH(D50,Parametros!$F$6:$F$13,0)),"")</f>
        <v/>
      </c>
      <c r="H50" s="19"/>
      <c r="I50" s="19"/>
      <c r="J50" s="20" t="str">
        <f aca="false">IF(OR(H50="",I50=""),"",H50-I50)</f>
        <v/>
      </c>
      <c r="K50" s="21" t="str">
        <f aca="false">IF(OR(J50="",I50=0),"",J50/I50)</f>
        <v/>
      </c>
      <c r="L50" s="12" t="str">
        <f aca="false">IF(H50="","",IF(I50="","Sin referencia",IF(ABS(K50)&lt;=Parametros!$B$3,"OK","Revisar")))</f>
        <v/>
      </c>
      <c r="M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2" t="str">
        <f aca="false">IFERROR(INDEX(Parametros!$G$6:$G$13,MATCH(D51,Parametros!$F$6:$F$13,0)),"")</f>
        <v/>
      </c>
      <c r="H51" s="19"/>
      <c r="I51" s="19"/>
      <c r="J51" s="20" t="str">
        <f aca="false">IF(OR(H51="",I51=""),"",H51-I51)</f>
        <v/>
      </c>
      <c r="K51" s="21" t="str">
        <f aca="false">IF(OR(J51="",I51=0),"",J51/I51)</f>
        <v/>
      </c>
      <c r="L51" s="12" t="str">
        <f aca="false">IF(H51="","",IF(I51="","Sin referencia",IF(ABS(K51)&lt;=Parametros!$B$3,"OK","Revisar")))</f>
        <v/>
      </c>
      <c r="M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2" t="str">
        <f aca="false">IFERROR(INDEX(Parametros!$G$6:$G$13,MATCH(D52,Parametros!$F$6:$F$13,0)),"")</f>
        <v/>
      </c>
      <c r="H52" s="19"/>
      <c r="I52" s="19"/>
      <c r="J52" s="20" t="str">
        <f aca="false">IF(OR(H52="",I52=""),"",H52-I52)</f>
        <v/>
      </c>
      <c r="K52" s="21" t="str">
        <f aca="false">IF(OR(J52="",I52=0),"",J52/I52)</f>
        <v/>
      </c>
      <c r="L52" s="12" t="str">
        <f aca="false">IF(H52="","",IF(I52="","Sin referencia",IF(ABS(K52)&lt;=Parametros!$B$3,"OK","Revisar")))</f>
        <v/>
      </c>
      <c r="M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2" t="str">
        <f aca="false">IFERROR(INDEX(Parametros!$G$6:$G$13,MATCH(D53,Parametros!$F$6:$F$13,0)),"")</f>
        <v/>
      </c>
      <c r="H53" s="19"/>
      <c r="I53" s="19"/>
      <c r="J53" s="20" t="str">
        <f aca="false">IF(OR(H53="",I53=""),"",H53-I53)</f>
        <v/>
      </c>
      <c r="K53" s="21" t="str">
        <f aca="false">IF(OR(J53="",I53=0),"",J53/I53)</f>
        <v/>
      </c>
      <c r="L53" s="12" t="str">
        <f aca="false">IF(H53="","",IF(I53="","Sin referencia",IF(ABS(K53)&lt;=Parametros!$B$3,"OK","Revisar")))</f>
        <v/>
      </c>
      <c r="M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2" t="str">
        <f aca="false">IFERROR(INDEX(Parametros!$G$6:$G$13,MATCH(D54,Parametros!$F$6:$F$13,0)),"")</f>
        <v/>
      </c>
      <c r="H54" s="19"/>
      <c r="I54" s="19"/>
      <c r="J54" s="20" t="str">
        <f aca="false">IF(OR(H54="",I54=""),"",H54-I54)</f>
        <v/>
      </c>
      <c r="K54" s="21" t="str">
        <f aca="false">IF(OR(J54="",I54=0),"",J54/I54)</f>
        <v/>
      </c>
      <c r="L54" s="12" t="str">
        <f aca="false">IF(H54="","",IF(I54="","Sin referencia",IF(ABS(K54)&lt;=Parametros!$B$3,"OK","Revisar")))</f>
        <v/>
      </c>
      <c r="M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2" t="str">
        <f aca="false">IFERROR(INDEX(Parametros!$G$6:$G$13,MATCH(D55,Parametros!$F$6:$F$13,0)),"")</f>
        <v/>
      </c>
      <c r="H55" s="19"/>
      <c r="I55" s="19"/>
      <c r="J55" s="20" t="str">
        <f aca="false">IF(OR(H55="",I55=""),"",H55-I55)</f>
        <v/>
      </c>
      <c r="K55" s="21" t="str">
        <f aca="false">IF(OR(J55="",I55=0),"",J55/I55)</f>
        <v/>
      </c>
      <c r="L55" s="12" t="str">
        <f aca="false">IF(H55="","",IF(I55="","Sin referencia",IF(ABS(K55)&lt;=Parametros!$B$3,"OK","Revisar")))</f>
        <v/>
      </c>
      <c r="M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2" t="str">
        <f aca="false">IFERROR(INDEX(Parametros!$G$6:$G$13,MATCH(D56,Parametros!$F$6:$F$13,0)),"")</f>
        <v/>
      </c>
      <c r="H56" s="19"/>
      <c r="I56" s="19"/>
      <c r="J56" s="20" t="str">
        <f aca="false">IF(OR(H56="",I56=""),"",H56-I56)</f>
        <v/>
      </c>
      <c r="K56" s="21" t="str">
        <f aca="false">IF(OR(J56="",I56=0),"",J56/I56)</f>
        <v/>
      </c>
      <c r="L56" s="12" t="str">
        <f aca="false">IF(H56="","",IF(I56="","Sin referencia",IF(ABS(K56)&lt;=Parametros!$B$3,"OK","Revisar")))</f>
        <v/>
      </c>
      <c r="M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2" t="str">
        <f aca="false">IFERROR(INDEX(Parametros!$G$6:$G$13,MATCH(D57,Parametros!$F$6:$F$13,0)),"")</f>
        <v/>
      </c>
      <c r="H57" s="19"/>
      <c r="I57" s="19"/>
      <c r="J57" s="20" t="str">
        <f aca="false">IF(OR(H57="",I57=""),"",H57-I57)</f>
        <v/>
      </c>
      <c r="K57" s="21" t="str">
        <f aca="false">IF(OR(J57="",I57=0),"",J57/I57)</f>
        <v/>
      </c>
      <c r="L57" s="12" t="str">
        <f aca="false">IF(H57="","",IF(I57="","Sin referencia",IF(ABS(K57)&lt;=Parametros!$B$3,"OK","Revisar")))</f>
        <v/>
      </c>
      <c r="M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2" t="str">
        <f aca="false">IFERROR(INDEX(Parametros!$G$6:$G$13,MATCH(D58,Parametros!$F$6:$F$13,0)),"")</f>
        <v/>
      </c>
      <c r="H58" s="19"/>
      <c r="I58" s="19"/>
      <c r="J58" s="20" t="str">
        <f aca="false">IF(OR(H58="",I58=""),"",H58-I58)</f>
        <v/>
      </c>
      <c r="K58" s="21" t="str">
        <f aca="false">IF(OR(J58="",I58=0),"",J58/I58)</f>
        <v/>
      </c>
      <c r="L58" s="12" t="str">
        <f aca="false">IF(H58="","",IF(I58="","Sin referencia",IF(ABS(K58)&lt;=Parametros!$B$3,"OK","Revisar")))</f>
        <v/>
      </c>
      <c r="M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2" t="str">
        <f aca="false">IFERROR(INDEX(Parametros!$G$6:$G$13,MATCH(D59,Parametros!$F$6:$F$13,0)),"")</f>
        <v/>
      </c>
      <c r="H59" s="19"/>
      <c r="I59" s="19"/>
      <c r="J59" s="20" t="str">
        <f aca="false">IF(OR(H59="",I59=""),"",H59-I59)</f>
        <v/>
      </c>
      <c r="K59" s="21" t="str">
        <f aca="false">IF(OR(J59="",I59=0),"",J59/I59)</f>
        <v/>
      </c>
      <c r="L59" s="12" t="str">
        <f aca="false">IF(H59="","",IF(I59="","Sin referencia",IF(ABS(K59)&lt;=Parametros!$B$3,"OK","Revisar")))</f>
        <v/>
      </c>
      <c r="M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2" t="str">
        <f aca="false">IFERROR(INDEX(Parametros!$G$6:$G$13,MATCH(D60,Parametros!$F$6:$F$13,0)),"")</f>
        <v/>
      </c>
      <c r="H60" s="19"/>
      <c r="I60" s="19"/>
      <c r="J60" s="20" t="str">
        <f aca="false">IF(OR(H60="",I60=""),"",H60-I60)</f>
        <v/>
      </c>
      <c r="K60" s="21" t="str">
        <f aca="false">IF(OR(J60="",I60=0),"",J60/I60)</f>
        <v/>
      </c>
      <c r="L60" s="12" t="str">
        <f aca="false">IF(H60="","",IF(I60="","Sin referencia",IF(ABS(K60)&lt;=Parametros!$B$3,"OK","Revisar")))</f>
        <v/>
      </c>
      <c r="M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2" t="str">
        <f aca="false">IFERROR(INDEX(Parametros!$G$6:$G$13,MATCH(D61,Parametros!$F$6:$F$13,0)),"")</f>
        <v/>
      </c>
      <c r="H61" s="19"/>
      <c r="I61" s="19"/>
      <c r="J61" s="20" t="str">
        <f aca="false">IF(OR(H61="",I61=""),"",H61-I61)</f>
        <v/>
      </c>
      <c r="K61" s="21" t="str">
        <f aca="false">IF(OR(J61="",I61=0),"",J61/I61)</f>
        <v/>
      </c>
      <c r="L61" s="12" t="str">
        <f aca="false">IF(H61="","",IF(I61="","Sin referencia",IF(ABS(K61)&lt;=Parametros!$B$3,"OK","Revisar")))</f>
        <v/>
      </c>
      <c r="M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2" t="str">
        <f aca="false">IFERROR(INDEX(Parametros!$G$6:$G$13,MATCH(D62,Parametros!$F$6:$F$13,0)),"")</f>
        <v/>
      </c>
      <c r="H62" s="19"/>
      <c r="I62" s="19"/>
      <c r="J62" s="20" t="str">
        <f aca="false">IF(OR(H62="",I62=""),"",H62-I62)</f>
        <v/>
      </c>
      <c r="K62" s="21" t="str">
        <f aca="false">IF(OR(J62="",I62=0),"",J62/I62)</f>
        <v/>
      </c>
      <c r="L62" s="12" t="str">
        <f aca="false">IF(H62="","",IF(I62="","Sin referencia",IF(ABS(K62)&lt;=Parametros!$B$3,"OK","Revisar")))</f>
        <v/>
      </c>
      <c r="M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2" t="str">
        <f aca="false">IFERROR(INDEX(Parametros!$G$6:$G$13,MATCH(D63,Parametros!$F$6:$F$13,0)),"")</f>
        <v/>
      </c>
      <c r="H63" s="19"/>
      <c r="I63" s="19"/>
      <c r="J63" s="20" t="str">
        <f aca="false">IF(OR(H63="",I63=""),"",H63-I63)</f>
        <v/>
      </c>
      <c r="K63" s="21" t="str">
        <f aca="false">IF(OR(J63="",I63=0),"",J63/I63)</f>
        <v/>
      </c>
      <c r="L63" s="12" t="str">
        <f aca="false">IF(H63="","",IF(I63="","Sin referencia",IF(ABS(K63)&lt;=Parametros!$B$3,"OK","Revisar")))</f>
        <v/>
      </c>
      <c r="M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2" t="str">
        <f aca="false">IFERROR(INDEX(Parametros!$G$6:$G$13,MATCH(D64,Parametros!$F$6:$F$13,0)),"")</f>
        <v/>
      </c>
      <c r="H64" s="19"/>
      <c r="I64" s="19"/>
      <c r="J64" s="20" t="str">
        <f aca="false">IF(OR(H64="",I64=""),"",H64-I64)</f>
        <v/>
      </c>
      <c r="K64" s="21" t="str">
        <f aca="false">IF(OR(J64="",I64=0),"",J64/I64)</f>
        <v/>
      </c>
      <c r="L64" s="12" t="str">
        <f aca="false">IF(H64="","",IF(I64="","Sin referencia",IF(ABS(K64)&lt;=Parametros!$B$3,"OK","Revisar")))</f>
        <v/>
      </c>
      <c r="M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2" t="str">
        <f aca="false">IFERROR(INDEX(Parametros!$G$6:$G$13,MATCH(D65,Parametros!$F$6:$F$13,0)),"")</f>
        <v/>
      </c>
      <c r="H65" s="19"/>
      <c r="I65" s="19"/>
      <c r="J65" s="20" t="str">
        <f aca="false">IF(OR(H65="",I65=""),"",H65-I65)</f>
        <v/>
      </c>
      <c r="K65" s="21" t="str">
        <f aca="false">IF(OR(J65="",I65=0),"",J65/I65)</f>
        <v/>
      </c>
      <c r="L65" s="12" t="str">
        <f aca="false">IF(H65="","",IF(I65="","Sin referencia",IF(ABS(K65)&lt;=Parametros!$B$3,"OK","Revisar")))</f>
        <v/>
      </c>
      <c r="M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2" t="str">
        <f aca="false">IFERROR(INDEX(Parametros!$G$6:$G$13,MATCH(D66,Parametros!$F$6:$F$13,0)),"")</f>
        <v/>
      </c>
      <c r="H66" s="19"/>
      <c r="I66" s="19"/>
      <c r="J66" s="20" t="str">
        <f aca="false">IF(OR(H66="",I66=""),"",H66-I66)</f>
        <v/>
      </c>
      <c r="K66" s="21" t="str">
        <f aca="false">IF(OR(J66="",I66=0),"",J66/I66)</f>
        <v/>
      </c>
      <c r="L66" s="12" t="str">
        <f aca="false">IF(H66="","",IF(I66="","Sin referencia",IF(ABS(K66)&lt;=Parametros!$B$3,"OK","Revisar")))</f>
        <v/>
      </c>
      <c r="M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2" t="str">
        <f aca="false">IFERROR(INDEX(Parametros!$G$6:$G$13,MATCH(D67,Parametros!$F$6:$F$13,0)),"")</f>
        <v/>
      </c>
      <c r="H67" s="19"/>
      <c r="I67" s="19"/>
      <c r="J67" s="20" t="str">
        <f aca="false">IF(OR(H67="",I67=""),"",H67-I67)</f>
        <v/>
      </c>
      <c r="K67" s="21" t="str">
        <f aca="false">IF(OR(J67="",I67=0),"",J67/I67)</f>
        <v/>
      </c>
      <c r="L67" s="12" t="str">
        <f aca="false">IF(H67="","",IF(I67="","Sin referencia",IF(ABS(K67)&lt;=Parametros!$B$3,"OK","Revisar")))</f>
        <v/>
      </c>
      <c r="M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2" t="str">
        <f aca="false">IFERROR(INDEX(Parametros!$G$6:$G$13,MATCH(D68,Parametros!$F$6:$F$13,0)),"")</f>
        <v/>
      </c>
      <c r="H68" s="19"/>
      <c r="I68" s="19"/>
      <c r="J68" s="20" t="str">
        <f aca="false">IF(OR(H68="",I68=""),"",H68-I68)</f>
        <v/>
      </c>
      <c r="K68" s="21" t="str">
        <f aca="false">IF(OR(J68="",I68=0),"",J68/I68)</f>
        <v/>
      </c>
      <c r="L68" s="12" t="str">
        <f aca="false">IF(H68="","",IF(I68="","Sin referencia",IF(ABS(K68)&lt;=Parametros!$B$3,"OK","Revisar")))</f>
        <v/>
      </c>
      <c r="M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2" t="str">
        <f aca="false">IFERROR(INDEX(Parametros!$G$6:$G$13,MATCH(D69,Parametros!$F$6:$F$13,0)),"")</f>
        <v/>
      </c>
      <c r="H69" s="19"/>
      <c r="I69" s="19"/>
      <c r="J69" s="20" t="str">
        <f aca="false">IF(OR(H69="",I69=""),"",H69-I69)</f>
        <v/>
      </c>
      <c r="K69" s="21" t="str">
        <f aca="false">IF(OR(J69="",I69=0),"",J69/I69)</f>
        <v/>
      </c>
      <c r="L69" s="12" t="str">
        <f aca="false">IF(H69="","",IF(I69="","Sin referencia",IF(ABS(K69)&lt;=Parametros!$B$3,"OK","Revisar")))</f>
        <v/>
      </c>
      <c r="M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2" t="str">
        <f aca="false">IFERROR(INDEX(Parametros!$G$6:$G$13,MATCH(D70,Parametros!$F$6:$F$13,0)),"")</f>
        <v/>
      </c>
      <c r="H70" s="19"/>
      <c r="I70" s="19"/>
      <c r="J70" s="20" t="str">
        <f aca="false">IF(OR(H70="",I70=""),"",H70-I70)</f>
        <v/>
      </c>
      <c r="K70" s="21" t="str">
        <f aca="false">IF(OR(J70="",I70=0),"",J70/I70)</f>
        <v/>
      </c>
      <c r="L70" s="12" t="str">
        <f aca="false">IF(H70="","",IF(I70="","Sin referencia",IF(ABS(K70)&lt;=Parametros!$B$3,"OK","Revisar")))</f>
        <v/>
      </c>
      <c r="M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2" t="str">
        <f aca="false">IFERROR(INDEX(Parametros!$G$6:$G$13,MATCH(D71,Parametros!$F$6:$F$13,0)),"")</f>
        <v/>
      </c>
      <c r="H71" s="19"/>
      <c r="I71" s="19"/>
      <c r="J71" s="20" t="str">
        <f aca="false">IF(OR(H71="",I71=""),"",H71-I71)</f>
        <v/>
      </c>
      <c r="K71" s="21" t="str">
        <f aca="false">IF(OR(J71="",I71=0),"",J71/I71)</f>
        <v/>
      </c>
      <c r="L71" s="12" t="str">
        <f aca="false">IF(H71="","",IF(I71="","Sin referencia",IF(ABS(K71)&lt;=Parametros!$B$3,"OK","Revisar")))</f>
        <v/>
      </c>
      <c r="M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2" t="str">
        <f aca="false">IFERROR(INDEX(Parametros!$G$6:$G$13,MATCH(D72,Parametros!$F$6:$F$13,0)),"")</f>
        <v/>
      </c>
      <c r="H72" s="19"/>
      <c r="I72" s="19"/>
      <c r="J72" s="20" t="str">
        <f aca="false">IF(OR(H72="",I72=""),"",H72-I72)</f>
        <v/>
      </c>
      <c r="K72" s="21" t="str">
        <f aca="false">IF(OR(J72="",I72=0),"",J72/I72)</f>
        <v/>
      </c>
      <c r="L72" s="12" t="str">
        <f aca="false">IF(H72="","",IF(I72="","Sin referencia",IF(ABS(K72)&lt;=Parametros!$B$3,"OK","Revisar")))</f>
        <v/>
      </c>
      <c r="M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2" t="str">
        <f aca="false">IFERROR(INDEX(Parametros!$G$6:$G$13,MATCH(D73,Parametros!$F$6:$F$13,0)),"")</f>
        <v/>
      </c>
      <c r="H73" s="19"/>
      <c r="I73" s="19"/>
      <c r="J73" s="20" t="str">
        <f aca="false">IF(OR(H73="",I73=""),"",H73-I73)</f>
        <v/>
      </c>
      <c r="K73" s="21" t="str">
        <f aca="false">IF(OR(J73="",I73=0),"",J73/I73)</f>
        <v/>
      </c>
      <c r="L73" s="12" t="str">
        <f aca="false">IF(H73="","",IF(I73="","Sin referencia",IF(ABS(K73)&lt;=Parametros!$B$3,"OK","Revisar")))</f>
        <v/>
      </c>
      <c r="M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2" t="str">
        <f aca="false">IFERROR(INDEX(Parametros!$G$6:$G$13,MATCH(D74,Parametros!$F$6:$F$13,0)),"")</f>
        <v/>
      </c>
      <c r="H74" s="19"/>
      <c r="I74" s="19"/>
      <c r="J74" s="20" t="str">
        <f aca="false">IF(OR(H74="",I74=""),"",H74-I74)</f>
        <v/>
      </c>
      <c r="K74" s="21" t="str">
        <f aca="false">IF(OR(J74="",I74=0),"",J74/I74)</f>
        <v/>
      </c>
      <c r="L74" s="12" t="str">
        <f aca="false">IF(H74="","",IF(I74="","Sin referencia",IF(ABS(K74)&lt;=Parametros!$B$3,"OK","Revisar")))</f>
        <v/>
      </c>
      <c r="M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2" t="str">
        <f aca="false">IFERROR(INDEX(Parametros!$G$6:$G$13,MATCH(D75,Parametros!$F$6:$F$13,0)),"")</f>
        <v/>
      </c>
      <c r="H75" s="19"/>
      <c r="I75" s="19"/>
      <c r="J75" s="20" t="str">
        <f aca="false">IF(OR(H75="",I75=""),"",H75-I75)</f>
        <v/>
      </c>
      <c r="K75" s="21" t="str">
        <f aca="false">IF(OR(J75="",I75=0),"",J75/I75)</f>
        <v/>
      </c>
      <c r="L75" s="12" t="str">
        <f aca="false">IF(H75="","",IF(I75="","Sin referencia",IF(ABS(K75)&lt;=Parametros!$B$3,"OK","Revisar")))</f>
        <v/>
      </c>
      <c r="M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2" t="str">
        <f aca="false">IFERROR(INDEX(Parametros!$G$6:$G$13,MATCH(D76,Parametros!$F$6:$F$13,0)),"")</f>
        <v/>
      </c>
      <c r="H76" s="19"/>
      <c r="I76" s="19"/>
      <c r="J76" s="20" t="str">
        <f aca="false">IF(OR(H76="",I76=""),"",H76-I76)</f>
        <v/>
      </c>
      <c r="K76" s="21" t="str">
        <f aca="false">IF(OR(J76="",I76=0),"",J76/I76)</f>
        <v/>
      </c>
      <c r="L76" s="12" t="str">
        <f aca="false">IF(H76="","",IF(I76="","Sin referencia",IF(ABS(K76)&lt;=Parametros!$B$3,"OK","Revisar")))</f>
        <v/>
      </c>
      <c r="M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2" t="str">
        <f aca="false">IFERROR(INDEX(Parametros!$G$6:$G$13,MATCH(D77,Parametros!$F$6:$F$13,0)),"")</f>
        <v/>
      </c>
      <c r="H77" s="19"/>
      <c r="I77" s="19"/>
      <c r="J77" s="20" t="str">
        <f aca="false">IF(OR(H77="",I77=""),"",H77-I77)</f>
        <v/>
      </c>
      <c r="K77" s="21" t="str">
        <f aca="false">IF(OR(J77="",I77=0),"",J77/I77)</f>
        <v/>
      </c>
      <c r="L77" s="12" t="str">
        <f aca="false">IF(H77="","",IF(I77="","Sin referencia",IF(ABS(K77)&lt;=Parametros!$B$3,"OK","Revisar")))</f>
        <v/>
      </c>
      <c r="M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2" t="str">
        <f aca="false">IFERROR(INDEX(Parametros!$G$6:$G$13,MATCH(D78,Parametros!$F$6:$F$13,0)),"")</f>
        <v/>
      </c>
      <c r="H78" s="19"/>
      <c r="I78" s="19"/>
      <c r="J78" s="20" t="str">
        <f aca="false">IF(OR(H78="",I78=""),"",H78-I78)</f>
        <v/>
      </c>
      <c r="K78" s="21" t="str">
        <f aca="false">IF(OR(J78="",I78=0),"",J78/I78)</f>
        <v/>
      </c>
      <c r="L78" s="12" t="str">
        <f aca="false">IF(H78="","",IF(I78="","Sin referencia",IF(ABS(K78)&lt;=Parametros!$B$3,"OK","Revisar")))</f>
        <v/>
      </c>
      <c r="M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2" t="str">
        <f aca="false">IFERROR(INDEX(Parametros!$G$6:$G$13,MATCH(D79,Parametros!$F$6:$F$13,0)),"")</f>
        <v/>
      </c>
      <c r="H79" s="19"/>
      <c r="I79" s="19"/>
      <c r="J79" s="20" t="str">
        <f aca="false">IF(OR(H79="",I79=""),"",H79-I79)</f>
        <v/>
      </c>
      <c r="K79" s="21" t="str">
        <f aca="false">IF(OR(J79="",I79=0),"",J79/I79)</f>
        <v/>
      </c>
      <c r="L79" s="12" t="str">
        <f aca="false">IF(H79="","",IF(I79="","Sin referencia",IF(ABS(K79)&lt;=Parametros!$B$3,"OK","Revisar")))</f>
        <v/>
      </c>
      <c r="M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2" t="str">
        <f aca="false">IFERROR(INDEX(Parametros!$G$6:$G$13,MATCH(D80,Parametros!$F$6:$F$13,0)),"")</f>
        <v/>
      </c>
      <c r="H80" s="19"/>
      <c r="I80" s="19"/>
      <c r="J80" s="20" t="str">
        <f aca="false">IF(OR(H80="",I80=""),"",H80-I80)</f>
        <v/>
      </c>
      <c r="K80" s="21" t="str">
        <f aca="false">IF(OR(J80="",I80=0),"",J80/I80)</f>
        <v/>
      </c>
      <c r="L80" s="12" t="str">
        <f aca="false">IF(H80="","",IF(I80="","Sin referencia",IF(ABS(K80)&lt;=Parametros!$B$3,"OK","Revisar")))</f>
        <v/>
      </c>
      <c r="M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2" t="str">
        <f aca="false">IFERROR(INDEX(Parametros!$G$6:$G$13,MATCH(D81,Parametros!$F$6:$F$13,0)),"")</f>
        <v/>
      </c>
      <c r="H81" s="19"/>
      <c r="I81" s="19"/>
      <c r="J81" s="20" t="str">
        <f aca="false">IF(OR(H81="",I81=""),"",H81-I81)</f>
        <v/>
      </c>
      <c r="K81" s="21" t="str">
        <f aca="false">IF(OR(J81="",I81=0),"",J81/I81)</f>
        <v/>
      </c>
      <c r="L81" s="12" t="str">
        <f aca="false">IF(H81="","",IF(I81="","Sin referencia",IF(ABS(K81)&lt;=Parametros!$B$3,"OK","Revisar")))</f>
        <v/>
      </c>
      <c r="M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2" t="str">
        <f aca="false">IFERROR(INDEX(Parametros!$G$6:$G$13,MATCH(D82,Parametros!$F$6:$F$13,0)),"")</f>
        <v/>
      </c>
      <c r="H82" s="19"/>
      <c r="I82" s="19"/>
      <c r="J82" s="20" t="str">
        <f aca="false">IF(OR(H82="",I82=""),"",H82-I82)</f>
        <v/>
      </c>
      <c r="K82" s="21" t="str">
        <f aca="false">IF(OR(J82="",I82=0),"",J82/I82)</f>
        <v/>
      </c>
      <c r="L82" s="12" t="str">
        <f aca="false">IF(H82="","",IF(I82="","Sin referencia",IF(ABS(K82)&lt;=Parametros!$B$3,"OK","Revisar")))</f>
        <v/>
      </c>
      <c r="M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2" t="str">
        <f aca="false">IFERROR(INDEX(Parametros!$G$6:$G$13,MATCH(D83,Parametros!$F$6:$F$13,0)),"")</f>
        <v/>
      </c>
      <c r="H83" s="19"/>
      <c r="I83" s="19"/>
      <c r="J83" s="20" t="str">
        <f aca="false">IF(OR(H83="",I83=""),"",H83-I83)</f>
        <v/>
      </c>
      <c r="K83" s="21" t="str">
        <f aca="false">IF(OR(J83="",I83=0),"",J83/I83)</f>
        <v/>
      </c>
      <c r="L83" s="12" t="str">
        <f aca="false">IF(H83="","",IF(I83="","Sin referencia",IF(ABS(K83)&lt;=Parametros!$B$3,"OK","Revisar")))</f>
        <v/>
      </c>
      <c r="M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2" t="str">
        <f aca="false">IFERROR(INDEX(Parametros!$G$6:$G$13,MATCH(D84,Parametros!$F$6:$F$13,0)),"")</f>
        <v/>
      </c>
      <c r="H84" s="19"/>
      <c r="I84" s="19"/>
      <c r="J84" s="20" t="str">
        <f aca="false">IF(OR(H84="",I84=""),"",H84-I84)</f>
        <v/>
      </c>
      <c r="K84" s="21" t="str">
        <f aca="false">IF(OR(J84="",I84=0),"",J84/I84)</f>
        <v/>
      </c>
      <c r="L84" s="12" t="str">
        <f aca="false">IF(H84="","",IF(I84="","Sin referencia",IF(ABS(K84)&lt;=Parametros!$B$3,"OK","Revisar")))</f>
        <v/>
      </c>
      <c r="M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2" t="str">
        <f aca="false">IFERROR(INDEX(Parametros!$G$6:$G$13,MATCH(D85,Parametros!$F$6:$F$13,0)),"")</f>
        <v/>
      </c>
      <c r="H85" s="19"/>
      <c r="I85" s="19"/>
      <c r="J85" s="20" t="str">
        <f aca="false">IF(OR(H85="",I85=""),"",H85-I85)</f>
        <v/>
      </c>
      <c r="K85" s="21" t="str">
        <f aca="false">IF(OR(J85="",I85=0),"",J85/I85)</f>
        <v/>
      </c>
      <c r="L85" s="12" t="str">
        <f aca="false">IF(H85="","",IF(I85="","Sin referencia",IF(ABS(K85)&lt;=Parametros!$B$3,"OK","Revisar")))</f>
        <v/>
      </c>
      <c r="M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2" t="str">
        <f aca="false">IFERROR(INDEX(Parametros!$G$6:$G$13,MATCH(D86,Parametros!$F$6:$F$13,0)),"")</f>
        <v/>
      </c>
      <c r="H86" s="19"/>
      <c r="I86" s="19"/>
      <c r="J86" s="20" t="str">
        <f aca="false">IF(OR(H86="",I86=""),"",H86-I86)</f>
        <v/>
      </c>
      <c r="K86" s="21" t="str">
        <f aca="false">IF(OR(J86="",I86=0),"",J86/I86)</f>
        <v/>
      </c>
      <c r="L86" s="12" t="str">
        <f aca="false">IF(H86="","",IF(I86="","Sin referencia",IF(ABS(K86)&lt;=Parametros!$B$3,"OK","Revisar")))</f>
        <v/>
      </c>
      <c r="M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2" t="str">
        <f aca="false">IFERROR(INDEX(Parametros!$G$6:$G$13,MATCH(D87,Parametros!$F$6:$F$13,0)),"")</f>
        <v/>
      </c>
      <c r="H87" s="19"/>
      <c r="I87" s="19"/>
      <c r="J87" s="20" t="str">
        <f aca="false">IF(OR(H87="",I87=""),"",H87-I87)</f>
        <v/>
      </c>
      <c r="K87" s="21" t="str">
        <f aca="false">IF(OR(J87="",I87=0),"",J87/I87)</f>
        <v/>
      </c>
      <c r="L87" s="12" t="str">
        <f aca="false">IF(H87="","",IF(I87="","Sin referencia",IF(ABS(K87)&lt;=Parametros!$B$3,"OK","Revisar")))</f>
        <v/>
      </c>
      <c r="M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2" t="str">
        <f aca="false">IFERROR(INDEX(Parametros!$G$6:$G$13,MATCH(D88,Parametros!$F$6:$F$13,0)),"")</f>
        <v/>
      </c>
      <c r="H88" s="19"/>
      <c r="I88" s="19"/>
      <c r="J88" s="20" t="str">
        <f aca="false">IF(OR(H88="",I88=""),"",H88-I88)</f>
        <v/>
      </c>
      <c r="K88" s="21" t="str">
        <f aca="false">IF(OR(J88="",I88=0),"",J88/I88)</f>
        <v/>
      </c>
      <c r="L88" s="12" t="str">
        <f aca="false">IF(H88="","",IF(I88="","Sin referencia",IF(ABS(K88)&lt;=Parametros!$B$3,"OK","Revisar")))</f>
        <v/>
      </c>
      <c r="M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2" t="str">
        <f aca="false">IFERROR(INDEX(Parametros!$G$6:$G$13,MATCH(D89,Parametros!$F$6:$F$13,0)),"")</f>
        <v/>
      </c>
      <c r="H89" s="19"/>
      <c r="I89" s="19"/>
      <c r="J89" s="20" t="str">
        <f aca="false">IF(OR(H89="",I89=""),"",H89-I89)</f>
        <v/>
      </c>
      <c r="K89" s="21" t="str">
        <f aca="false">IF(OR(J89="",I89=0),"",J89/I89)</f>
        <v/>
      </c>
      <c r="L89" s="12" t="str">
        <f aca="false">IF(H89="","",IF(I89="","Sin referencia",IF(ABS(K89)&lt;=Parametros!$B$3,"OK","Revisar")))</f>
        <v/>
      </c>
      <c r="M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2" t="str">
        <f aca="false">IFERROR(INDEX(Parametros!$G$6:$G$13,MATCH(D90,Parametros!$F$6:$F$13,0)),"")</f>
        <v/>
      </c>
      <c r="H90" s="19"/>
      <c r="I90" s="19"/>
      <c r="J90" s="20" t="str">
        <f aca="false">IF(OR(H90="",I90=""),"",H90-I90)</f>
        <v/>
      </c>
      <c r="K90" s="21" t="str">
        <f aca="false">IF(OR(J90="",I90=0),"",J90/I90)</f>
        <v/>
      </c>
      <c r="L90" s="12" t="str">
        <f aca="false">IF(H90="","",IF(I90="","Sin referencia",IF(ABS(K90)&lt;=Parametros!$B$3,"OK","Revisar")))</f>
        <v/>
      </c>
      <c r="M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2" t="str">
        <f aca="false">IFERROR(INDEX(Parametros!$G$6:$G$13,MATCH(D91,Parametros!$F$6:$F$13,0)),"")</f>
        <v/>
      </c>
      <c r="H91" s="19"/>
      <c r="I91" s="19"/>
      <c r="J91" s="20" t="str">
        <f aca="false">IF(OR(H91="",I91=""),"",H91-I91)</f>
        <v/>
      </c>
      <c r="K91" s="21" t="str">
        <f aca="false">IF(OR(J91="",I91=0),"",J91/I91)</f>
        <v/>
      </c>
      <c r="L91" s="12" t="str">
        <f aca="false">IF(H91="","",IF(I91="","Sin referencia",IF(ABS(K91)&lt;=Parametros!$B$3,"OK","Revisar")))</f>
        <v/>
      </c>
      <c r="M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2" t="str">
        <f aca="false">IFERROR(INDEX(Parametros!$G$6:$G$13,MATCH(D92,Parametros!$F$6:$F$13,0)),"")</f>
        <v/>
      </c>
      <c r="H92" s="19"/>
      <c r="I92" s="19"/>
      <c r="J92" s="20" t="str">
        <f aca="false">IF(OR(H92="",I92=""),"",H92-I92)</f>
        <v/>
      </c>
      <c r="K92" s="21" t="str">
        <f aca="false">IF(OR(J92="",I92=0),"",J92/I92)</f>
        <v/>
      </c>
      <c r="L92" s="12" t="str">
        <f aca="false">IF(H92="","",IF(I92="","Sin referencia",IF(ABS(K92)&lt;=Parametros!$B$3,"OK","Revisar")))</f>
        <v/>
      </c>
      <c r="M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2" t="str">
        <f aca="false">IFERROR(INDEX(Parametros!$G$6:$G$13,MATCH(D93,Parametros!$F$6:$F$13,0)),"")</f>
        <v/>
      </c>
      <c r="H93" s="19"/>
      <c r="I93" s="19"/>
      <c r="J93" s="20" t="str">
        <f aca="false">IF(OR(H93="",I93=""),"",H93-I93)</f>
        <v/>
      </c>
      <c r="K93" s="21" t="str">
        <f aca="false">IF(OR(J93="",I93=0),"",J93/I93)</f>
        <v/>
      </c>
      <c r="L93" s="12" t="str">
        <f aca="false">IF(H93="","",IF(I93="","Sin referencia",IF(ABS(K93)&lt;=Parametros!$B$3,"OK","Revisar")))</f>
        <v/>
      </c>
      <c r="M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2" t="str">
        <f aca="false">IFERROR(INDEX(Parametros!$G$6:$G$13,MATCH(D94,Parametros!$F$6:$F$13,0)),"")</f>
        <v/>
      </c>
      <c r="H94" s="19"/>
      <c r="I94" s="19"/>
      <c r="J94" s="20" t="str">
        <f aca="false">IF(OR(H94="",I94=""),"",H94-I94)</f>
        <v/>
      </c>
      <c r="K94" s="21" t="str">
        <f aca="false">IF(OR(J94="",I94=0),"",J94/I94)</f>
        <v/>
      </c>
      <c r="L94" s="12" t="str">
        <f aca="false">IF(H94="","",IF(I94="","Sin referencia",IF(ABS(K94)&lt;=Parametros!$B$3,"OK","Revisar")))</f>
        <v/>
      </c>
      <c r="M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2" t="str">
        <f aca="false">IFERROR(INDEX(Parametros!$G$6:$G$13,MATCH(D95,Parametros!$F$6:$F$13,0)),"")</f>
        <v/>
      </c>
      <c r="H95" s="19"/>
      <c r="I95" s="19"/>
      <c r="J95" s="20" t="str">
        <f aca="false">IF(OR(H95="",I95=""),"",H95-I95)</f>
        <v/>
      </c>
      <c r="K95" s="21" t="str">
        <f aca="false">IF(OR(J95="",I95=0),"",J95/I95)</f>
        <v/>
      </c>
      <c r="L95" s="12" t="str">
        <f aca="false">IF(H95="","",IF(I95="","Sin referencia",IF(ABS(K95)&lt;=Parametros!$B$3,"OK","Revisar")))</f>
        <v/>
      </c>
      <c r="M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2" t="str">
        <f aca="false">IFERROR(INDEX(Parametros!$G$6:$G$13,MATCH(D96,Parametros!$F$6:$F$13,0)),"")</f>
        <v/>
      </c>
      <c r="H96" s="19"/>
      <c r="I96" s="19"/>
      <c r="J96" s="20" t="str">
        <f aca="false">IF(OR(H96="",I96=""),"",H96-I96)</f>
        <v/>
      </c>
      <c r="K96" s="21" t="str">
        <f aca="false">IF(OR(J96="",I96=0),"",J96/I96)</f>
        <v/>
      </c>
      <c r="L96" s="12" t="str">
        <f aca="false">IF(H96="","",IF(I96="","Sin referencia",IF(ABS(K96)&lt;=Parametros!$B$3,"OK","Revisar")))</f>
        <v/>
      </c>
      <c r="M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2" t="str">
        <f aca="false">IFERROR(INDEX(Parametros!$G$6:$G$13,MATCH(D97,Parametros!$F$6:$F$13,0)),"")</f>
        <v/>
      </c>
      <c r="H97" s="19"/>
      <c r="I97" s="19"/>
      <c r="J97" s="20" t="str">
        <f aca="false">IF(OR(H97="",I97=""),"",H97-I97)</f>
        <v/>
      </c>
      <c r="K97" s="21" t="str">
        <f aca="false">IF(OR(J97="",I97=0),"",J97/I97)</f>
        <v/>
      </c>
      <c r="L97" s="12" t="str">
        <f aca="false">IF(H97="","",IF(I97="","Sin referencia",IF(ABS(K97)&lt;=Parametros!$B$3,"OK","Revisar")))</f>
        <v/>
      </c>
      <c r="M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2" t="str">
        <f aca="false">IFERROR(INDEX(Parametros!$G$6:$G$13,MATCH(D98,Parametros!$F$6:$F$13,0)),"")</f>
        <v/>
      </c>
      <c r="H98" s="19"/>
      <c r="I98" s="19"/>
      <c r="J98" s="20" t="str">
        <f aca="false">IF(OR(H98="",I98=""),"",H98-I98)</f>
        <v/>
      </c>
      <c r="K98" s="21" t="str">
        <f aca="false">IF(OR(J98="",I98=0),"",J98/I98)</f>
        <v/>
      </c>
      <c r="L98" s="12" t="str">
        <f aca="false">IF(H98="","",IF(I98="","Sin referencia",IF(ABS(K98)&lt;=Parametros!$B$3,"OK","Revisar")))</f>
        <v/>
      </c>
      <c r="M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2" t="str">
        <f aca="false">IFERROR(INDEX(Parametros!$G$6:$G$13,MATCH(D99,Parametros!$F$6:$F$13,0)),"")</f>
        <v/>
      </c>
      <c r="H99" s="19"/>
      <c r="I99" s="19"/>
      <c r="J99" s="20" t="str">
        <f aca="false">IF(OR(H99="",I99=""),"",H99-I99)</f>
        <v/>
      </c>
      <c r="K99" s="21" t="str">
        <f aca="false">IF(OR(J99="",I99=0),"",J99/I99)</f>
        <v/>
      </c>
      <c r="L99" s="12" t="str">
        <f aca="false">IF(H99="","",IF(I99="","Sin referencia",IF(ABS(K99)&lt;=Parametros!$B$3,"OK","Revisar")))</f>
        <v/>
      </c>
      <c r="M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2" t="str">
        <f aca="false">IFERROR(INDEX(Parametros!$G$6:$G$13,MATCH(D100,Parametros!$F$6:$F$13,0)),"")</f>
        <v/>
      </c>
      <c r="H100" s="19"/>
      <c r="I100" s="19"/>
      <c r="J100" s="20" t="str">
        <f aca="false">IF(OR(H100="",I100=""),"",H100-I100)</f>
        <v/>
      </c>
      <c r="K100" s="21" t="str">
        <f aca="false">IF(OR(J100="",I100=0),"",J100/I100)</f>
        <v/>
      </c>
      <c r="L100" s="12" t="str">
        <f aca="false">IF(H100="","",IF(I100="","Sin referencia",IF(ABS(K100)&lt;=Parametros!$B$3,"OK","Revisar")))</f>
        <v/>
      </c>
      <c r="M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2" t="str">
        <f aca="false">IFERROR(INDEX(Parametros!$G$6:$G$13,MATCH(D101,Parametros!$F$6:$F$13,0)),"")</f>
        <v/>
      </c>
      <c r="H101" s="19"/>
      <c r="I101" s="19"/>
      <c r="J101" s="20" t="str">
        <f aca="false">IF(OR(H101="",I101=""),"",H101-I101)</f>
        <v/>
      </c>
      <c r="K101" s="21" t="str">
        <f aca="false">IF(OR(J101="",I101=0),"",J101/I101)</f>
        <v/>
      </c>
      <c r="L101" s="12" t="str">
        <f aca="false">IF(H101="","",IF(I101="","Sin referencia",IF(ABS(K101)&lt;=Parametros!$B$3,"OK","Revisar")))</f>
        <v/>
      </c>
      <c r="M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2" t="str">
        <f aca="false">IFERROR(INDEX(Parametros!$G$6:$G$13,MATCH(D102,Parametros!$F$6:$F$13,0)),"")</f>
        <v/>
      </c>
      <c r="H102" s="19"/>
      <c r="I102" s="19"/>
      <c r="J102" s="20" t="str">
        <f aca="false">IF(OR(H102="",I102=""),"",H102-I102)</f>
        <v/>
      </c>
      <c r="K102" s="21" t="str">
        <f aca="false">IF(OR(J102="",I102=0),"",J102/I102)</f>
        <v/>
      </c>
      <c r="L102" s="12" t="str">
        <f aca="false">IF(H102="","",IF(I102="","Sin referencia",IF(ABS(K102)&lt;=Parametros!$B$3,"OK","Revisar")))</f>
        <v/>
      </c>
      <c r="M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2" t="str">
        <f aca="false">IFERROR(INDEX(Parametros!$G$6:$G$13,MATCH(D103,Parametros!$F$6:$F$13,0)),"")</f>
        <v/>
      </c>
      <c r="H103" s="19"/>
      <c r="I103" s="19"/>
      <c r="J103" s="20" t="str">
        <f aca="false">IF(OR(H103="",I103=""),"",H103-I103)</f>
        <v/>
      </c>
      <c r="K103" s="21" t="str">
        <f aca="false">IF(OR(J103="",I103=0),"",J103/I103)</f>
        <v/>
      </c>
      <c r="L103" s="12" t="str">
        <f aca="false">IF(H103="","",IF(I103="","Sin referencia",IF(ABS(K103)&lt;=Parametros!$B$3,"OK","Revisar")))</f>
        <v/>
      </c>
      <c r="M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2" t="str">
        <f aca="false">IFERROR(INDEX(Parametros!$G$6:$G$13,MATCH(D104,Parametros!$F$6:$F$13,0)),"")</f>
        <v/>
      </c>
      <c r="H104" s="19"/>
      <c r="I104" s="19"/>
      <c r="J104" s="20" t="str">
        <f aca="false">IF(OR(H104="",I104=""),"",H104-I104)</f>
        <v/>
      </c>
      <c r="K104" s="21" t="str">
        <f aca="false">IF(OR(J104="",I104=0),"",J104/I104)</f>
        <v/>
      </c>
      <c r="L104" s="12" t="str">
        <f aca="false">IF(H104="","",IF(I104="","Sin referencia",IF(ABS(K104)&lt;=Parametros!$B$3,"OK","Revisar")))</f>
        <v/>
      </c>
      <c r="M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2" t="str">
        <f aca="false">IFERROR(INDEX(Parametros!$G$6:$G$13,MATCH(D105,Parametros!$F$6:$F$13,0)),"")</f>
        <v/>
      </c>
      <c r="H105" s="19"/>
      <c r="I105" s="19"/>
      <c r="J105" s="20" t="str">
        <f aca="false">IF(OR(H105="",I105=""),"",H105-I105)</f>
        <v/>
      </c>
      <c r="K105" s="21" t="str">
        <f aca="false">IF(OR(J105="",I105=0),"",J105/I105)</f>
        <v/>
      </c>
      <c r="L105" s="12" t="str">
        <f aca="false">IF(H105="","",IF(I105="","Sin referencia",IF(ABS(K105)&lt;=Parametros!$B$3,"OK","Revisar")))</f>
        <v/>
      </c>
      <c r="M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2" t="str">
        <f aca="false">IFERROR(INDEX(Parametros!$G$6:$G$13,MATCH(D106,Parametros!$F$6:$F$13,0)),"")</f>
        <v/>
      </c>
      <c r="H106" s="19"/>
      <c r="I106" s="19"/>
      <c r="J106" s="20" t="str">
        <f aca="false">IF(OR(H106="",I106=""),"",H106-I106)</f>
        <v/>
      </c>
      <c r="K106" s="21" t="str">
        <f aca="false">IF(OR(J106="",I106=0),"",J106/I106)</f>
        <v/>
      </c>
      <c r="L106" s="12" t="str">
        <f aca="false">IF(H106="","",IF(I106="","Sin referencia",IF(ABS(K106)&lt;=Parametros!$B$3,"OK","Revisar")))</f>
        <v/>
      </c>
      <c r="M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2" t="str">
        <f aca="false">IFERROR(INDEX(Parametros!$G$6:$G$13,MATCH(D107,Parametros!$F$6:$F$13,0)),"")</f>
        <v/>
      </c>
      <c r="H107" s="19"/>
      <c r="I107" s="19"/>
      <c r="J107" s="20" t="str">
        <f aca="false">IF(OR(H107="",I107=""),"",H107-I107)</f>
        <v/>
      </c>
      <c r="K107" s="21" t="str">
        <f aca="false">IF(OR(J107="",I107=0),"",J107/I107)</f>
        <v/>
      </c>
      <c r="L107" s="12" t="str">
        <f aca="false">IF(H107="","",IF(I107="","Sin referencia",IF(ABS(K107)&lt;=Parametros!$B$3,"OK","Revisar")))</f>
        <v/>
      </c>
      <c r="M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2" t="str">
        <f aca="false">IFERROR(INDEX(Parametros!$G$6:$G$13,MATCH(D108,Parametros!$F$6:$F$13,0)),"")</f>
        <v/>
      </c>
      <c r="H108" s="19"/>
      <c r="I108" s="19"/>
      <c r="J108" s="20" t="str">
        <f aca="false">IF(OR(H108="",I108=""),"",H108-I108)</f>
        <v/>
      </c>
      <c r="K108" s="21" t="str">
        <f aca="false">IF(OR(J108="",I108=0),"",J108/I108)</f>
        <v/>
      </c>
      <c r="L108" s="12" t="str">
        <f aca="false">IF(H108="","",IF(I108="","Sin referencia",IF(ABS(K108)&lt;=Parametros!$B$3,"OK","Revisar")))</f>
        <v/>
      </c>
      <c r="M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2" t="str">
        <f aca="false">IFERROR(INDEX(Parametros!$G$6:$G$13,MATCH(D109,Parametros!$F$6:$F$13,0)),"")</f>
        <v/>
      </c>
      <c r="H109" s="19"/>
      <c r="I109" s="19"/>
      <c r="J109" s="20" t="str">
        <f aca="false">IF(OR(H109="",I109=""),"",H109-I109)</f>
        <v/>
      </c>
      <c r="K109" s="21" t="str">
        <f aca="false">IF(OR(J109="",I109=0),"",J109/I109)</f>
        <v/>
      </c>
      <c r="L109" s="12" t="str">
        <f aca="false">IF(H109="","",IF(I109="","Sin referencia",IF(ABS(K109)&lt;=Parametros!$B$3,"OK","Revisar")))</f>
        <v/>
      </c>
      <c r="M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2" t="str">
        <f aca="false">IFERROR(INDEX(Parametros!$G$6:$G$13,MATCH(D110,Parametros!$F$6:$F$13,0)),"")</f>
        <v/>
      </c>
      <c r="H110" s="19"/>
      <c r="I110" s="19"/>
      <c r="J110" s="20" t="str">
        <f aca="false">IF(OR(H110="",I110=""),"",H110-I110)</f>
        <v/>
      </c>
      <c r="K110" s="21" t="str">
        <f aca="false">IF(OR(J110="",I110=0),"",J110/I110)</f>
        <v/>
      </c>
      <c r="L110" s="12" t="str">
        <f aca="false">IF(H110="","",IF(I110="","Sin referencia",IF(ABS(K110)&lt;=Parametros!$B$3,"OK","Revisar")))</f>
        <v/>
      </c>
      <c r="M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2" t="str">
        <f aca="false">IFERROR(INDEX(Parametros!$G$6:$G$13,MATCH(D111,Parametros!$F$6:$F$13,0)),"")</f>
        <v/>
      </c>
      <c r="H111" s="19"/>
      <c r="I111" s="19"/>
      <c r="J111" s="20" t="str">
        <f aca="false">IF(OR(H111="",I111=""),"",H111-I111)</f>
        <v/>
      </c>
      <c r="K111" s="21" t="str">
        <f aca="false">IF(OR(J111="",I111=0),"",J111/I111)</f>
        <v/>
      </c>
      <c r="L111" s="12" t="str">
        <f aca="false">IF(H111="","",IF(I111="","Sin referencia",IF(ABS(K111)&lt;=Parametros!$B$3,"OK","Revisar")))</f>
        <v/>
      </c>
      <c r="M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2" t="str">
        <f aca="false">IFERROR(INDEX(Parametros!$G$6:$G$13,MATCH(D112,Parametros!$F$6:$F$13,0)),"")</f>
        <v/>
      </c>
      <c r="H112" s="19"/>
      <c r="I112" s="19"/>
      <c r="J112" s="20" t="str">
        <f aca="false">IF(OR(H112="",I112=""),"",H112-I112)</f>
        <v/>
      </c>
      <c r="K112" s="21" t="str">
        <f aca="false">IF(OR(J112="",I112=0),"",J112/I112)</f>
        <v/>
      </c>
      <c r="L112" s="12" t="str">
        <f aca="false">IF(H112="","",IF(I112="","Sin referencia",IF(ABS(K112)&lt;=Parametros!$B$3,"OK","Revisar")))</f>
        <v/>
      </c>
      <c r="M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2" t="str">
        <f aca="false">IFERROR(INDEX(Parametros!$G$6:$G$13,MATCH(D113,Parametros!$F$6:$F$13,0)),"")</f>
        <v/>
      </c>
      <c r="H113" s="19"/>
      <c r="I113" s="19"/>
      <c r="J113" s="20" t="str">
        <f aca="false">IF(OR(H113="",I113=""),"",H113-I113)</f>
        <v/>
      </c>
      <c r="K113" s="21" t="str">
        <f aca="false">IF(OR(J113="",I113=0),"",J113/I113)</f>
        <v/>
      </c>
      <c r="L113" s="12" t="str">
        <f aca="false">IF(H113="","",IF(I113="","Sin referencia",IF(ABS(K113)&lt;=Parametros!$B$3,"OK","Revisar")))</f>
        <v/>
      </c>
      <c r="M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2" t="str">
        <f aca="false">IFERROR(INDEX(Parametros!$G$6:$G$13,MATCH(D114,Parametros!$F$6:$F$13,0)),"")</f>
        <v/>
      </c>
      <c r="H114" s="19"/>
      <c r="I114" s="19"/>
      <c r="J114" s="20" t="str">
        <f aca="false">IF(OR(H114="",I114=""),"",H114-I114)</f>
        <v/>
      </c>
      <c r="K114" s="21" t="str">
        <f aca="false">IF(OR(J114="",I114=0),"",J114/I114)</f>
        <v/>
      </c>
      <c r="L114" s="12" t="str">
        <f aca="false">IF(H114="","",IF(I114="","Sin referencia",IF(ABS(K114)&lt;=Parametros!$B$3,"OK","Revisar")))</f>
        <v/>
      </c>
      <c r="M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2" t="str">
        <f aca="false">IFERROR(INDEX(Parametros!$G$6:$G$13,MATCH(D115,Parametros!$F$6:$F$13,0)),"")</f>
        <v/>
      </c>
      <c r="H115" s="19"/>
      <c r="I115" s="19"/>
      <c r="J115" s="20" t="str">
        <f aca="false">IF(OR(H115="",I115=""),"",H115-I115)</f>
        <v/>
      </c>
      <c r="K115" s="21" t="str">
        <f aca="false">IF(OR(J115="",I115=0),"",J115/I115)</f>
        <v/>
      </c>
      <c r="L115" s="12" t="str">
        <f aca="false">IF(H115="","",IF(I115="","Sin referencia",IF(ABS(K115)&lt;=Parametros!$B$3,"OK","Revisar")))</f>
        <v/>
      </c>
      <c r="M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2" t="str">
        <f aca="false">IFERROR(INDEX(Parametros!$G$6:$G$13,MATCH(D116,Parametros!$F$6:$F$13,0)),"")</f>
        <v/>
      </c>
      <c r="H116" s="19"/>
      <c r="I116" s="19"/>
      <c r="J116" s="20" t="str">
        <f aca="false">IF(OR(H116="",I116=""),"",H116-I116)</f>
        <v/>
      </c>
      <c r="K116" s="21" t="str">
        <f aca="false">IF(OR(J116="",I116=0),"",J116/I116)</f>
        <v/>
      </c>
      <c r="L116" s="12" t="str">
        <f aca="false">IF(H116="","",IF(I116="","Sin referencia",IF(ABS(K116)&lt;=Parametros!$B$3,"OK","Revisar")))</f>
        <v/>
      </c>
      <c r="M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2" t="str">
        <f aca="false">IFERROR(INDEX(Parametros!$G$6:$G$13,MATCH(D117,Parametros!$F$6:$F$13,0)),"")</f>
        <v/>
      </c>
      <c r="H117" s="19"/>
      <c r="I117" s="19"/>
      <c r="J117" s="20" t="str">
        <f aca="false">IF(OR(H117="",I117=""),"",H117-I117)</f>
        <v/>
      </c>
      <c r="K117" s="21" t="str">
        <f aca="false">IF(OR(J117="",I117=0),"",J117/I117)</f>
        <v/>
      </c>
      <c r="L117" s="12" t="str">
        <f aca="false">IF(H117="","",IF(I117="","Sin referencia",IF(ABS(K117)&lt;=Parametros!$B$3,"OK","Revisar")))</f>
        <v/>
      </c>
      <c r="M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2" t="str">
        <f aca="false">IFERROR(INDEX(Parametros!$G$6:$G$13,MATCH(D118,Parametros!$F$6:$F$13,0)),"")</f>
        <v/>
      </c>
      <c r="H118" s="19"/>
      <c r="I118" s="19"/>
      <c r="J118" s="20" t="str">
        <f aca="false">IF(OR(H118="",I118=""),"",H118-I118)</f>
        <v/>
      </c>
      <c r="K118" s="21" t="str">
        <f aca="false">IF(OR(J118="",I118=0),"",J118/I118)</f>
        <v/>
      </c>
      <c r="L118" s="12" t="str">
        <f aca="false">IF(H118="","",IF(I118="","Sin referencia",IF(ABS(K118)&lt;=Parametros!$B$3,"OK","Revisar")))</f>
        <v/>
      </c>
      <c r="M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2" t="str">
        <f aca="false">IFERROR(INDEX(Parametros!$G$6:$G$13,MATCH(D119,Parametros!$F$6:$F$13,0)),"")</f>
        <v/>
      </c>
      <c r="H119" s="19"/>
      <c r="I119" s="19"/>
      <c r="J119" s="20" t="str">
        <f aca="false">IF(OR(H119="",I119=""),"",H119-I119)</f>
        <v/>
      </c>
      <c r="K119" s="21" t="str">
        <f aca="false">IF(OR(J119="",I119=0),"",J119/I119)</f>
        <v/>
      </c>
      <c r="L119" s="12" t="str">
        <f aca="false">IF(H119="","",IF(I119="","Sin referencia",IF(ABS(K119)&lt;=Parametros!$B$3,"OK","Revisar")))</f>
        <v/>
      </c>
      <c r="M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2" t="str">
        <f aca="false">IFERROR(INDEX(Parametros!$G$6:$G$13,MATCH(D120,Parametros!$F$6:$F$13,0)),"")</f>
        <v/>
      </c>
      <c r="H120" s="19"/>
      <c r="I120" s="19"/>
      <c r="J120" s="20" t="str">
        <f aca="false">IF(OR(H120="",I120=""),"",H120-I120)</f>
        <v/>
      </c>
      <c r="K120" s="21" t="str">
        <f aca="false">IF(OR(J120="",I120=0),"",J120/I120)</f>
        <v/>
      </c>
      <c r="L120" s="12" t="str">
        <f aca="false">IF(H120="","",IF(I120="","Sin referencia",IF(ABS(K120)&lt;=Parametros!$B$3,"OK","Revisar")))</f>
        <v/>
      </c>
      <c r="M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2" t="str">
        <f aca="false">IFERROR(INDEX(Parametros!$G$6:$G$13,MATCH(D121,Parametros!$F$6:$F$13,0)),"")</f>
        <v/>
      </c>
      <c r="H121" s="19"/>
      <c r="I121" s="19"/>
      <c r="J121" s="20" t="str">
        <f aca="false">IF(OR(H121="",I121=""),"",H121-I121)</f>
        <v/>
      </c>
      <c r="K121" s="21" t="str">
        <f aca="false">IF(OR(J121="",I121=0),"",J121/I121)</f>
        <v/>
      </c>
      <c r="L121" s="12" t="str">
        <f aca="false">IF(H121="","",IF(I121="","Sin referencia",IF(ABS(K121)&lt;=Parametros!$B$3,"OK","Revisar")))</f>
        <v/>
      </c>
      <c r="M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2" t="str">
        <f aca="false">IFERROR(INDEX(Parametros!$G$6:$G$13,MATCH(D122,Parametros!$F$6:$F$13,0)),"")</f>
        <v/>
      </c>
      <c r="H122" s="19"/>
      <c r="I122" s="19"/>
      <c r="J122" s="20" t="str">
        <f aca="false">IF(OR(H122="",I122=""),"",H122-I122)</f>
        <v/>
      </c>
      <c r="K122" s="21" t="str">
        <f aca="false">IF(OR(J122="",I122=0),"",J122/I122)</f>
        <v/>
      </c>
      <c r="L122" s="12" t="str">
        <f aca="false">IF(H122="","",IF(I122="","Sin referencia",IF(ABS(K122)&lt;=Parametros!$B$3,"OK","Revisar")))</f>
        <v/>
      </c>
      <c r="M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2" t="str">
        <f aca="false">IFERROR(INDEX(Parametros!$G$6:$G$13,MATCH(D123,Parametros!$F$6:$F$13,0)),"")</f>
        <v/>
      </c>
      <c r="H123" s="19"/>
      <c r="I123" s="19"/>
      <c r="J123" s="20" t="str">
        <f aca="false">IF(OR(H123="",I123=""),"",H123-I123)</f>
        <v/>
      </c>
      <c r="K123" s="21" t="str">
        <f aca="false">IF(OR(J123="",I123=0),"",J123/I123)</f>
        <v/>
      </c>
      <c r="L123" s="12" t="str">
        <f aca="false">IF(H123="","",IF(I123="","Sin referencia",IF(ABS(K123)&lt;=Parametros!$B$3,"OK","Revisar")))</f>
        <v/>
      </c>
      <c r="M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2" t="str">
        <f aca="false">IFERROR(INDEX(Parametros!$G$6:$G$13,MATCH(D124,Parametros!$F$6:$F$13,0)),"")</f>
        <v/>
      </c>
      <c r="H124" s="19"/>
      <c r="I124" s="19"/>
      <c r="J124" s="20" t="str">
        <f aca="false">IF(OR(H124="",I124=""),"",H124-I124)</f>
        <v/>
      </c>
      <c r="K124" s="21" t="str">
        <f aca="false">IF(OR(J124="",I124=0),"",J124/I124)</f>
        <v/>
      </c>
      <c r="L124" s="12" t="str">
        <f aca="false">IF(H124="","",IF(I124="","Sin referencia",IF(ABS(K124)&lt;=Parametros!$B$3,"OK","Revisar")))</f>
        <v/>
      </c>
      <c r="M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2" t="str">
        <f aca="false">IFERROR(INDEX(Parametros!$G$6:$G$13,MATCH(D125,Parametros!$F$6:$F$13,0)),"")</f>
        <v/>
      </c>
      <c r="H125" s="19"/>
      <c r="I125" s="19"/>
      <c r="J125" s="20" t="str">
        <f aca="false">IF(OR(H125="",I125=""),"",H125-I125)</f>
        <v/>
      </c>
      <c r="K125" s="21" t="str">
        <f aca="false">IF(OR(J125="",I125=0),"",J125/I125)</f>
        <v/>
      </c>
      <c r="L125" s="12" t="str">
        <f aca="false">IF(H125="","",IF(I125="","Sin referencia",IF(ABS(K125)&lt;=Parametros!$B$3,"OK","Revisar")))</f>
        <v/>
      </c>
      <c r="M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2" t="str">
        <f aca="false">IFERROR(INDEX(Parametros!$G$6:$G$13,MATCH(D126,Parametros!$F$6:$F$13,0)),"")</f>
        <v/>
      </c>
      <c r="H126" s="19"/>
      <c r="I126" s="19"/>
      <c r="J126" s="20" t="str">
        <f aca="false">IF(OR(H126="",I126=""),"",H126-I126)</f>
        <v/>
      </c>
      <c r="K126" s="21" t="str">
        <f aca="false">IF(OR(J126="",I126=0),"",J126/I126)</f>
        <v/>
      </c>
      <c r="L126" s="12" t="str">
        <f aca="false">IF(H126="","",IF(I126="","Sin referencia",IF(ABS(K126)&lt;=Parametros!$B$3,"OK","Revisar")))</f>
        <v/>
      </c>
      <c r="M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2" t="str">
        <f aca="false">IFERROR(INDEX(Parametros!$G$6:$G$13,MATCH(D127,Parametros!$F$6:$F$13,0)),"")</f>
        <v/>
      </c>
      <c r="H127" s="19"/>
      <c r="I127" s="19"/>
      <c r="J127" s="20" t="str">
        <f aca="false">IF(OR(H127="",I127=""),"",H127-I127)</f>
        <v/>
      </c>
      <c r="K127" s="21" t="str">
        <f aca="false">IF(OR(J127="",I127=0),"",J127/I127)</f>
        <v/>
      </c>
      <c r="L127" s="12" t="str">
        <f aca="false">IF(H127="","",IF(I127="","Sin referencia",IF(ABS(K127)&lt;=Parametros!$B$3,"OK","Revisar")))</f>
        <v/>
      </c>
      <c r="M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2" t="str">
        <f aca="false">IFERROR(INDEX(Parametros!$G$6:$G$13,MATCH(D128,Parametros!$F$6:$F$13,0)),"")</f>
        <v/>
      </c>
      <c r="H128" s="19"/>
      <c r="I128" s="19"/>
      <c r="J128" s="20" t="str">
        <f aca="false">IF(OR(H128="",I128=""),"",H128-I128)</f>
        <v/>
      </c>
      <c r="K128" s="21" t="str">
        <f aca="false">IF(OR(J128="",I128=0),"",J128/I128)</f>
        <v/>
      </c>
      <c r="L128" s="12" t="str">
        <f aca="false">IF(H128="","",IF(I128="","Sin referencia",IF(ABS(K128)&lt;=Parametros!$B$3,"OK","Revisar")))</f>
        <v/>
      </c>
      <c r="M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2" t="str">
        <f aca="false">IFERROR(INDEX(Parametros!$G$6:$G$13,MATCH(D129,Parametros!$F$6:$F$13,0)),"")</f>
        <v/>
      </c>
      <c r="H129" s="19"/>
      <c r="I129" s="19"/>
      <c r="J129" s="20" t="str">
        <f aca="false">IF(OR(H129="",I129=""),"",H129-I129)</f>
        <v/>
      </c>
      <c r="K129" s="21" t="str">
        <f aca="false">IF(OR(J129="",I129=0),"",J129/I129)</f>
        <v/>
      </c>
      <c r="L129" s="12" t="str">
        <f aca="false">IF(H129="","",IF(I129="","Sin referencia",IF(ABS(K129)&lt;=Parametros!$B$3,"OK","Revisar")))</f>
        <v/>
      </c>
      <c r="M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2" t="str">
        <f aca="false">IFERROR(INDEX(Parametros!$G$6:$G$13,MATCH(D130,Parametros!$F$6:$F$13,0)),"")</f>
        <v/>
      </c>
      <c r="H130" s="19"/>
      <c r="I130" s="19"/>
      <c r="J130" s="20" t="str">
        <f aca="false">IF(OR(H130="",I130=""),"",H130-I130)</f>
        <v/>
      </c>
      <c r="K130" s="21" t="str">
        <f aca="false">IF(OR(J130="",I130=0),"",J130/I130)</f>
        <v/>
      </c>
      <c r="L130" s="12" t="str">
        <f aca="false">IF(H130="","",IF(I130="","Sin referencia",IF(ABS(K130)&lt;=Parametros!$B$3,"OK","Revisar")))</f>
        <v/>
      </c>
      <c r="M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2" t="str">
        <f aca="false">IFERROR(INDEX(Parametros!$G$6:$G$13,MATCH(D131,Parametros!$F$6:$F$13,0)),"")</f>
        <v/>
      </c>
      <c r="H131" s="19"/>
      <c r="I131" s="19"/>
      <c r="J131" s="20" t="str">
        <f aca="false">IF(OR(H131="",I131=""),"",H131-I131)</f>
        <v/>
      </c>
      <c r="K131" s="21" t="str">
        <f aca="false">IF(OR(J131="",I131=0),"",J131/I131)</f>
        <v/>
      </c>
      <c r="L131" s="12" t="str">
        <f aca="false">IF(H131="","",IF(I131="","Sin referencia",IF(ABS(K131)&lt;=Parametros!$B$3,"OK","Revisar")))</f>
        <v/>
      </c>
      <c r="M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2" t="str">
        <f aca="false">IFERROR(INDEX(Parametros!$G$6:$G$13,MATCH(D132,Parametros!$F$6:$F$13,0)),"")</f>
        <v/>
      </c>
      <c r="H132" s="19"/>
      <c r="I132" s="19"/>
      <c r="J132" s="20" t="str">
        <f aca="false">IF(OR(H132="",I132=""),"",H132-I132)</f>
        <v/>
      </c>
      <c r="K132" s="21" t="str">
        <f aca="false">IF(OR(J132="",I132=0),"",J132/I132)</f>
        <v/>
      </c>
      <c r="L132" s="12" t="str">
        <f aca="false">IF(H132="","",IF(I132="","Sin referencia",IF(ABS(K132)&lt;=Parametros!$B$3,"OK","Revisar")))</f>
        <v/>
      </c>
      <c r="M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2" t="str">
        <f aca="false">IFERROR(INDEX(Parametros!$G$6:$G$13,MATCH(D133,Parametros!$F$6:$F$13,0)),"")</f>
        <v/>
      </c>
      <c r="H133" s="19"/>
      <c r="I133" s="19"/>
      <c r="J133" s="20" t="str">
        <f aca="false">IF(OR(H133="",I133=""),"",H133-I133)</f>
        <v/>
      </c>
      <c r="K133" s="21" t="str">
        <f aca="false">IF(OR(J133="",I133=0),"",J133/I133)</f>
        <v/>
      </c>
      <c r="L133" s="12" t="str">
        <f aca="false">IF(H133="","",IF(I133="","Sin referencia",IF(ABS(K133)&lt;=Parametros!$B$3,"OK","Revisar")))</f>
        <v/>
      </c>
      <c r="M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2" t="str">
        <f aca="false">IFERROR(INDEX(Parametros!$G$6:$G$13,MATCH(D134,Parametros!$F$6:$F$13,0)),"")</f>
        <v/>
      </c>
      <c r="H134" s="19"/>
      <c r="I134" s="19"/>
      <c r="J134" s="20" t="str">
        <f aca="false">IF(OR(H134="",I134=""),"",H134-I134)</f>
        <v/>
      </c>
      <c r="K134" s="21" t="str">
        <f aca="false">IF(OR(J134="",I134=0),"",J134/I134)</f>
        <v/>
      </c>
      <c r="L134" s="12" t="str">
        <f aca="false">IF(H134="","",IF(I134="","Sin referencia",IF(ABS(K134)&lt;=Parametros!$B$3,"OK","Revisar")))</f>
        <v/>
      </c>
      <c r="M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2" t="str">
        <f aca="false">IFERROR(INDEX(Parametros!$G$6:$G$13,MATCH(D135,Parametros!$F$6:$F$13,0)),"")</f>
        <v/>
      </c>
      <c r="H135" s="19"/>
      <c r="I135" s="19"/>
      <c r="J135" s="20" t="str">
        <f aca="false">IF(OR(H135="",I135=""),"",H135-I135)</f>
        <v/>
      </c>
      <c r="K135" s="21" t="str">
        <f aca="false">IF(OR(J135="",I135=0),"",J135/I135)</f>
        <v/>
      </c>
      <c r="L135" s="12" t="str">
        <f aca="false">IF(H135="","",IF(I135="","Sin referencia",IF(ABS(K135)&lt;=Parametros!$B$3,"OK","Revisar")))</f>
        <v/>
      </c>
      <c r="M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2" t="str">
        <f aca="false">IFERROR(INDEX(Parametros!$G$6:$G$13,MATCH(D136,Parametros!$F$6:$F$13,0)),"")</f>
        <v/>
      </c>
      <c r="H136" s="19"/>
      <c r="I136" s="19"/>
      <c r="J136" s="20" t="str">
        <f aca="false">IF(OR(H136="",I136=""),"",H136-I136)</f>
        <v/>
      </c>
      <c r="K136" s="21" t="str">
        <f aca="false">IF(OR(J136="",I136=0),"",J136/I136)</f>
        <v/>
      </c>
      <c r="L136" s="12" t="str">
        <f aca="false">IF(H136="","",IF(I136="","Sin referencia",IF(ABS(K136)&lt;=Parametros!$B$3,"OK","Revisar")))</f>
        <v/>
      </c>
      <c r="M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2" t="str">
        <f aca="false">IFERROR(INDEX(Parametros!$G$6:$G$13,MATCH(D137,Parametros!$F$6:$F$13,0)),"")</f>
        <v/>
      </c>
      <c r="H137" s="19"/>
      <c r="I137" s="19"/>
      <c r="J137" s="20" t="str">
        <f aca="false">IF(OR(H137="",I137=""),"",H137-I137)</f>
        <v/>
      </c>
      <c r="K137" s="21" t="str">
        <f aca="false">IF(OR(J137="",I137=0),"",J137/I137)</f>
        <v/>
      </c>
      <c r="L137" s="12" t="str">
        <f aca="false">IF(H137="","",IF(I137="","Sin referencia",IF(ABS(K137)&lt;=Parametros!$B$3,"OK","Revisar")))</f>
        <v/>
      </c>
      <c r="M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2" t="str">
        <f aca="false">IFERROR(INDEX(Parametros!$G$6:$G$13,MATCH(D138,Parametros!$F$6:$F$13,0)),"")</f>
        <v/>
      </c>
      <c r="H138" s="19"/>
      <c r="I138" s="19"/>
      <c r="J138" s="20" t="str">
        <f aca="false">IF(OR(H138="",I138=""),"",H138-I138)</f>
        <v/>
      </c>
      <c r="K138" s="21" t="str">
        <f aca="false">IF(OR(J138="",I138=0),"",J138/I138)</f>
        <v/>
      </c>
      <c r="L138" s="12" t="str">
        <f aca="false">IF(H138="","",IF(I138="","Sin referencia",IF(ABS(K138)&lt;=Parametros!$B$3,"OK","Revisar")))</f>
        <v/>
      </c>
      <c r="M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2" t="str">
        <f aca="false">IFERROR(INDEX(Parametros!$G$6:$G$13,MATCH(D139,Parametros!$F$6:$F$13,0)),"")</f>
        <v/>
      </c>
      <c r="H139" s="19"/>
      <c r="I139" s="19"/>
      <c r="J139" s="20" t="str">
        <f aca="false">IF(OR(H139="",I139=""),"",H139-I139)</f>
        <v/>
      </c>
      <c r="K139" s="21" t="str">
        <f aca="false">IF(OR(J139="",I139=0),"",J139/I139)</f>
        <v/>
      </c>
      <c r="L139" s="12" t="str">
        <f aca="false">IF(H139="","",IF(I139="","Sin referencia",IF(ABS(K139)&lt;=Parametros!$B$3,"OK","Revisar")))</f>
        <v/>
      </c>
      <c r="M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2" t="str">
        <f aca="false">IFERROR(INDEX(Parametros!$G$6:$G$13,MATCH(D140,Parametros!$F$6:$F$13,0)),"")</f>
        <v/>
      </c>
      <c r="H140" s="19"/>
      <c r="I140" s="19"/>
      <c r="J140" s="20" t="str">
        <f aca="false">IF(OR(H140="",I140=""),"",H140-I140)</f>
        <v/>
      </c>
      <c r="K140" s="21" t="str">
        <f aca="false">IF(OR(J140="",I140=0),"",J140/I140)</f>
        <v/>
      </c>
      <c r="L140" s="12" t="str">
        <f aca="false">IF(H140="","",IF(I140="","Sin referencia",IF(ABS(K140)&lt;=Parametros!$B$3,"OK","Revisar")))</f>
        <v/>
      </c>
      <c r="M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2" t="str">
        <f aca="false">IFERROR(INDEX(Parametros!$G$6:$G$13,MATCH(D141,Parametros!$F$6:$F$13,0)),"")</f>
        <v/>
      </c>
      <c r="H141" s="19"/>
      <c r="I141" s="19"/>
      <c r="J141" s="20" t="str">
        <f aca="false">IF(OR(H141="",I141=""),"",H141-I141)</f>
        <v/>
      </c>
      <c r="K141" s="21" t="str">
        <f aca="false">IF(OR(J141="",I141=0),"",J141/I141)</f>
        <v/>
      </c>
      <c r="L141" s="12" t="str">
        <f aca="false">IF(H141="","",IF(I141="","Sin referencia",IF(ABS(K141)&lt;=Parametros!$B$3,"OK","Revisar")))</f>
        <v/>
      </c>
      <c r="M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2" t="str">
        <f aca="false">IFERROR(INDEX(Parametros!$G$6:$G$13,MATCH(D142,Parametros!$F$6:$F$13,0)),"")</f>
        <v/>
      </c>
      <c r="H142" s="19"/>
      <c r="I142" s="19"/>
      <c r="J142" s="20" t="str">
        <f aca="false">IF(OR(H142="",I142=""),"",H142-I142)</f>
        <v/>
      </c>
      <c r="K142" s="21" t="str">
        <f aca="false">IF(OR(J142="",I142=0),"",J142/I142)</f>
        <v/>
      </c>
      <c r="L142" s="12" t="str">
        <f aca="false">IF(H142="","",IF(I142="","Sin referencia",IF(ABS(K142)&lt;=Parametros!$B$3,"OK","Revisar")))</f>
        <v/>
      </c>
      <c r="M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2" t="str">
        <f aca="false">IFERROR(INDEX(Parametros!$G$6:$G$13,MATCH(D143,Parametros!$F$6:$F$13,0)),"")</f>
        <v/>
      </c>
      <c r="H143" s="19"/>
      <c r="I143" s="19"/>
      <c r="J143" s="20" t="str">
        <f aca="false">IF(OR(H143="",I143=""),"",H143-I143)</f>
        <v/>
      </c>
      <c r="K143" s="21" t="str">
        <f aca="false">IF(OR(J143="",I143=0),"",J143/I143)</f>
        <v/>
      </c>
      <c r="L143" s="12" t="str">
        <f aca="false">IF(H143="","",IF(I143="","Sin referencia",IF(ABS(K143)&lt;=Parametros!$B$3,"OK","Revisar")))</f>
        <v/>
      </c>
      <c r="M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2" t="str">
        <f aca="false">IFERROR(INDEX(Parametros!$G$6:$G$13,MATCH(D144,Parametros!$F$6:$F$13,0)),"")</f>
        <v/>
      </c>
      <c r="H144" s="19"/>
      <c r="I144" s="19"/>
      <c r="J144" s="20" t="str">
        <f aca="false">IF(OR(H144="",I144=""),"",H144-I144)</f>
        <v/>
      </c>
      <c r="K144" s="21" t="str">
        <f aca="false">IF(OR(J144="",I144=0),"",J144/I144)</f>
        <v/>
      </c>
      <c r="L144" s="12" t="str">
        <f aca="false">IF(H144="","",IF(I144="","Sin referencia",IF(ABS(K144)&lt;=Parametros!$B$3,"OK","Revisar")))</f>
        <v/>
      </c>
      <c r="M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2" t="str">
        <f aca="false">IFERROR(INDEX(Parametros!$G$6:$G$13,MATCH(D145,Parametros!$F$6:$F$13,0)),"")</f>
        <v/>
      </c>
      <c r="H145" s="19"/>
      <c r="I145" s="19"/>
      <c r="J145" s="20" t="str">
        <f aca="false">IF(OR(H145="",I145=""),"",H145-I145)</f>
        <v/>
      </c>
      <c r="K145" s="21" t="str">
        <f aca="false">IF(OR(J145="",I145=0),"",J145/I145)</f>
        <v/>
      </c>
      <c r="L145" s="12" t="str">
        <f aca="false">IF(H145="","",IF(I145="","Sin referencia",IF(ABS(K145)&lt;=Parametros!$B$3,"OK","Revisar")))</f>
        <v/>
      </c>
      <c r="M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2" t="str">
        <f aca="false">IFERROR(INDEX(Parametros!$G$6:$G$13,MATCH(D146,Parametros!$F$6:$F$13,0)),"")</f>
        <v/>
      </c>
      <c r="H146" s="19"/>
      <c r="I146" s="19"/>
      <c r="J146" s="20" t="str">
        <f aca="false">IF(OR(H146="",I146=""),"",H146-I146)</f>
        <v/>
      </c>
      <c r="K146" s="21" t="str">
        <f aca="false">IF(OR(J146="",I146=0),"",J146/I146)</f>
        <v/>
      </c>
      <c r="L146" s="12" t="str">
        <f aca="false">IF(H146="","",IF(I146="","Sin referencia",IF(ABS(K146)&lt;=Parametros!$B$3,"OK","Revisar")))</f>
        <v/>
      </c>
      <c r="M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2" t="str">
        <f aca="false">IFERROR(INDEX(Parametros!$G$6:$G$13,MATCH(D147,Parametros!$F$6:$F$13,0)),"")</f>
        <v/>
      </c>
      <c r="H147" s="19"/>
      <c r="I147" s="19"/>
      <c r="J147" s="20" t="str">
        <f aca="false">IF(OR(H147="",I147=""),"",H147-I147)</f>
        <v/>
      </c>
      <c r="K147" s="21" t="str">
        <f aca="false">IF(OR(J147="",I147=0),"",J147/I147)</f>
        <v/>
      </c>
      <c r="L147" s="12" t="str">
        <f aca="false">IF(H147="","",IF(I147="","Sin referencia",IF(ABS(K147)&lt;=Parametros!$B$3,"OK","Revisar")))</f>
        <v/>
      </c>
      <c r="M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2" t="str">
        <f aca="false">IFERROR(INDEX(Parametros!$G$6:$G$13,MATCH(D148,Parametros!$F$6:$F$13,0)),"")</f>
        <v/>
      </c>
      <c r="H148" s="19"/>
      <c r="I148" s="19"/>
      <c r="J148" s="20" t="str">
        <f aca="false">IF(OR(H148="",I148=""),"",H148-I148)</f>
        <v/>
      </c>
      <c r="K148" s="21" t="str">
        <f aca="false">IF(OR(J148="",I148=0),"",J148/I148)</f>
        <v/>
      </c>
      <c r="L148" s="12" t="str">
        <f aca="false">IF(H148="","",IF(I148="","Sin referencia",IF(ABS(K148)&lt;=Parametros!$B$3,"OK","Revisar")))</f>
        <v/>
      </c>
      <c r="M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2" t="str">
        <f aca="false">IFERROR(INDEX(Parametros!$G$6:$G$13,MATCH(D149,Parametros!$F$6:$F$13,0)),"")</f>
        <v/>
      </c>
      <c r="H149" s="19"/>
      <c r="I149" s="19"/>
      <c r="J149" s="20" t="str">
        <f aca="false">IF(OR(H149="",I149=""),"",H149-I149)</f>
        <v/>
      </c>
      <c r="K149" s="21" t="str">
        <f aca="false">IF(OR(J149="",I149=0),"",J149/I149)</f>
        <v/>
      </c>
      <c r="L149" s="12" t="str">
        <f aca="false">IF(H149="","",IF(I149="","Sin referencia",IF(ABS(K149)&lt;=Parametros!$B$3,"OK","Revisar")))</f>
        <v/>
      </c>
      <c r="M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2" t="str">
        <f aca="false">IFERROR(INDEX(Parametros!$G$6:$G$13,MATCH(D150,Parametros!$F$6:$F$13,0)),"")</f>
        <v/>
      </c>
      <c r="H150" s="19"/>
      <c r="I150" s="19"/>
      <c r="J150" s="20" t="str">
        <f aca="false">IF(OR(H150="",I150=""),"",H150-I150)</f>
        <v/>
      </c>
      <c r="K150" s="21" t="str">
        <f aca="false">IF(OR(J150="",I150=0),"",J150/I150)</f>
        <v/>
      </c>
      <c r="L150" s="12" t="str">
        <f aca="false">IF(H150="","",IF(I150="","Sin referencia",IF(ABS(K150)&lt;=Parametros!$B$3,"OK","Revisar")))</f>
        <v/>
      </c>
      <c r="M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2" t="str">
        <f aca="false">IFERROR(INDEX(Parametros!$G$6:$G$13,MATCH(D151,Parametros!$F$6:$F$13,0)),"")</f>
        <v/>
      </c>
      <c r="H151" s="19"/>
      <c r="I151" s="19"/>
      <c r="J151" s="20" t="str">
        <f aca="false">IF(OR(H151="",I151=""),"",H151-I151)</f>
        <v/>
      </c>
      <c r="K151" s="21" t="str">
        <f aca="false">IF(OR(J151="",I151=0),"",J151/I151)</f>
        <v/>
      </c>
      <c r="L151" s="12" t="str">
        <f aca="false">IF(H151="","",IF(I151="","Sin referencia",IF(ABS(K151)&lt;=Parametros!$B$3,"OK","Revisar")))</f>
        <v/>
      </c>
      <c r="M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2" t="str">
        <f aca="false">IFERROR(INDEX(Parametros!$G$6:$G$13,MATCH(D152,Parametros!$F$6:$F$13,0)),"")</f>
        <v/>
      </c>
      <c r="H152" s="19"/>
      <c r="I152" s="19"/>
      <c r="J152" s="20" t="str">
        <f aca="false">IF(OR(H152="",I152=""),"",H152-I152)</f>
        <v/>
      </c>
      <c r="K152" s="21" t="str">
        <f aca="false">IF(OR(J152="",I152=0),"",J152/I152)</f>
        <v/>
      </c>
      <c r="L152" s="12" t="str">
        <f aca="false">IF(H152="","",IF(I152="","Sin referencia",IF(ABS(K152)&lt;=Parametros!$B$3,"OK","Revisar")))</f>
        <v/>
      </c>
      <c r="M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2" t="str">
        <f aca="false">IFERROR(INDEX(Parametros!$G$6:$G$13,MATCH(D153,Parametros!$F$6:$F$13,0)),"")</f>
        <v/>
      </c>
      <c r="H153" s="19"/>
      <c r="I153" s="19"/>
      <c r="J153" s="20" t="str">
        <f aca="false">IF(OR(H153="",I153=""),"",H153-I153)</f>
        <v/>
      </c>
      <c r="K153" s="21" t="str">
        <f aca="false">IF(OR(J153="",I153=0),"",J153/I153)</f>
        <v/>
      </c>
      <c r="L153" s="12" t="str">
        <f aca="false">IF(H153="","",IF(I153="","Sin referencia",IF(ABS(K153)&lt;=Parametros!$B$3,"OK","Revisar")))</f>
        <v/>
      </c>
      <c r="M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2" t="str">
        <f aca="false">IFERROR(INDEX(Parametros!$G$6:$G$13,MATCH(D154,Parametros!$F$6:$F$13,0)),"")</f>
        <v/>
      </c>
      <c r="H154" s="19"/>
      <c r="I154" s="19"/>
      <c r="J154" s="20" t="str">
        <f aca="false">IF(OR(H154="",I154=""),"",H154-I154)</f>
        <v/>
      </c>
      <c r="K154" s="21" t="str">
        <f aca="false">IF(OR(J154="",I154=0),"",J154/I154)</f>
        <v/>
      </c>
      <c r="L154" s="12" t="str">
        <f aca="false">IF(H154="","",IF(I154="","Sin referencia",IF(ABS(K154)&lt;=Parametros!$B$3,"OK","Revisar")))</f>
        <v/>
      </c>
      <c r="M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2" t="str">
        <f aca="false">IFERROR(INDEX(Parametros!$G$6:$G$13,MATCH(D155,Parametros!$F$6:$F$13,0)),"")</f>
        <v/>
      </c>
      <c r="H155" s="19"/>
      <c r="I155" s="19"/>
      <c r="J155" s="20" t="str">
        <f aca="false">IF(OR(H155="",I155=""),"",H155-I155)</f>
        <v/>
      </c>
      <c r="K155" s="21" t="str">
        <f aca="false">IF(OR(J155="",I155=0),"",J155/I155)</f>
        <v/>
      </c>
      <c r="L155" s="12" t="str">
        <f aca="false">IF(H155="","",IF(I155="","Sin referencia",IF(ABS(K155)&lt;=Parametros!$B$3,"OK","Revisar")))</f>
        <v/>
      </c>
      <c r="M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2" t="str">
        <f aca="false">IFERROR(INDEX(Parametros!$G$6:$G$13,MATCH(D156,Parametros!$F$6:$F$13,0)),"")</f>
        <v/>
      </c>
      <c r="H156" s="19"/>
      <c r="I156" s="19"/>
      <c r="J156" s="20" t="str">
        <f aca="false">IF(OR(H156="",I156=""),"",H156-I156)</f>
        <v/>
      </c>
      <c r="K156" s="21" t="str">
        <f aca="false">IF(OR(J156="",I156=0),"",J156/I156)</f>
        <v/>
      </c>
      <c r="L156" s="12" t="str">
        <f aca="false">IF(H156="","",IF(I156="","Sin referencia",IF(ABS(K156)&lt;=Parametros!$B$3,"OK","Revisar")))</f>
        <v/>
      </c>
      <c r="M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2" t="str">
        <f aca="false">IFERROR(INDEX(Parametros!$G$6:$G$13,MATCH(D157,Parametros!$F$6:$F$13,0)),"")</f>
        <v/>
      </c>
      <c r="H157" s="19"/>
      <c r="I157" s="19"/>
      <c r="J157" s="20" t="str">
        <f aca="false">IF(OR(H157="",I157=""),"",H157-I157)</f>
        <v/>
      </c>
      <c r="K157" s="21" t="str">
        <f aca="false">IF(OR(J157="",I157=0),"",J157/I157)</f>
        <v/>
      </c>
      <c r="L157" s="12" t="str">
        <f aca="false">IF(H157="","",IF(I157="","Sin referencia",IF(ABS(K157)&lt;=Parametros!$B$3,"OK","Revisar")))</f>
        <v/>
      </c>
      <c r="M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2" t="str">
        <f aca="false">IFERROR(INDEX(Parametros!$G$6:$G$13,MATCH(D158,Parametros!$F$6:$F$13,0)),"")</f>
        <v/>
      </c>
      <c r="H158" s="19"/>
      <c r="I158" s="19"/>
      <c r="J158" s="20" t="str">
        <f aca="false">IF(OR(H158="",I158=""),"",H158-I158)</f>
        <v/>
      </c>
      <c r="K158" s="21" t="str">
        <f aca="false">IF(OR(J158="",I158=0),"",J158/I158)</f>
        <v/>
      </c>
      <c r="L158" s="12" t="str">
        <f aca="false">IF(H158="","",IF(I158="","Sin referencia",IF(ABS(K158)&lt;=Parametros!$B$3,"OK","Revisar")))</f>
        <v/>
      </c>
      <c r="M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2" t="str">
        <f aca="false">IFERROR(INDEX(Parametros!$G$6:$G$13,MATCH(D159,Parametros!$F$6:$F$13,0)),"")</f>
        <v/>
      </c>
      <c r="H159" s="19"/>
      <c r="I159" s="19"/>
      <c r="J159" s="20" t="str">
        <f aca="false">IF(OR(H159="",I159=""),"",H159-I159)</f>
        <v/>
      </c>
      <c r="K159" s="21" t="str">
        <f aca="false">IF(OR(J159="",I159=0),"",J159/I159)</f>
        <v/>
      </c>
      <c r="L159" s="12" t="str">
        <f aca="false">IF(H159="","",IF(I159="","Sin referencia",IF(ABS(K159)&lt;=Parametros!$B$3,"OK","Revisar")))</f>
        <v/>
      </c>
      <c r="M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2" t="str">
        <f aca="false">IFERROR(INDEX(Parametros!$G$6:$G$13,MATCH(D160,Parametros!$F$6:$F$13,0)),"")</f>
        <v/>
      </c>
      <c r="H160" s="19"/>
      <c r="I160" s="19"/>
      <c r="J160" s="20" t="str">
        <f aca="false">IF(OR(H160="",I160=""),"",H160-I160)</f>
        <v/>
      </c>
      <c r="K160" s="21" t="str">
        <f aca="false">IF(OR(J160="",I160=0),"",J160/I160)</f>
        <v/>
      </c>
      <c r="L160" s="12" t="str">
        <f aca="false">IF(H160="","",IF(I160="","Sin referencia",IF(ABS(K160)&lt;=Parametros!$B$3,"OK","Revisar")))</f>
        <v/>
      </c>
      <c r="M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2" t="str">
        <f aca="false">IFERROR(INDEX(Parametros!$G$6:$G$13,MATCH(D161,Parametros!$F$6:$F$13,0)),"")</f>
        <v/>
      </c>
      <c r="H161" s="19"/>
      <c r="I161" s="19"/>
      <c r="J161" s="20" t="str">
        <f aca="false">IF(OR(H161="",I161=""),"",H161-I161)</f>
        <v/>
      </c>
      <c r="K161" s="21" t="str">
        <f aca="false">IF(OR(J161="",I161=0),"",J161/I161)</f>
        <v/>
      </c>
      <c r="L161" s="12" t="str">
        <f aca="false">IF(H161="","",IF(I161="","Sin referencia",IF(ABS(K161)&lt;=Parametros!$B$3,"OK","Revisar")))</f>
        <v/>
      </c>
      <c r="M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2" t="str">
        <f aca="false">IFERROR(INDEX(Parametros!$G$6:$G$13,MATCH(D162,Parametros!$F$6:$F$13,0)),"")</f>
        <v/>
      </c>
      <c r="H162" s="19"/>
      <c r="I162" s="19"/>
      <c r="J162" s="20" t="str">
        <f aca="false">IF(OR(H162="",I162=""),"",H162-I162)</f>
        <v/>
      </c>
      <c r="K162" s="21" t="str">
        <f aca="false">IF(OR(J162="",I162=0),"",J162/I162)</f>
        <v/>
      </c>
      <c r="L162" s="12" t="str">
        <f aca="false">IF(H162="","",IF(I162="","Sin referencia",IF(ABS(K162)&lt;=Parametros!$B$3,"OK","Revisar")))</f>
        <v/>
      </c>
      <c r="M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2" t="str">
        <f aca="false">IFERROR(INDEX(Parametros!$G$6:$G$13,MATCH(D163,Parametros!$F$6:$F$13,0)),"")</f>
        <v/>
      </c>
      <c r="H163" s="19"/>
      <c r="I163" s="19"/>
      <c r="J163" s="20" t="str">
        <f aca="false">IF(OR(H163="",I163=""),"",H163-I163)</f>
        <v/>
      </c>
      <c r="K163" s="21" t="str">
        <f aca="false">IF(OR(J163="",I163=0),"",J163/I163)</f>
        <v/>
      </c>
      <c r="L163" s="12" t="str">
        <f aca="false">IF(H163="","",IF(I163="","Sin referencia",IF(ABS(K163)&lt;=Parametros!$B$3,"OK","Revisar")))</f>
        <v/>
      </c>
      <c r="M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2" t="str">
        <f aca="false">IFERROR(INDEX(Parametros!$G$6:$G$13,MATCH(D164,Parametros!$F$6:$F$13,0)),"")</f>
        <v/>
      </c>
      <c r="H164" s="19"/>
      <c r="I164" s="19"/>
      <c r="J164" s="20" t="str">
        <f aca="false">IF(OR(H164="",I164=""),"",H164-I164)</f>
        <v/>
      </c>
      <c r="K164" s="21" t="str">
        <f aca="false">IF(OR(J164="",I164=0),"",J164/I164)</f>
        <v/>
      </c>
      <c r="L164" s="12" t="str">
        <f aca="false">IF(H164="","",IF(I164="","Sin referencia",IF(ABS(K164)&lt;=Parametros!$B$3,"OK","Revisar")))</f>
        <v/>
      </c>
      <c r="M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2" t="str">
        <f aca="false">IFERROR(INDEX(Parametros!$G$6:$G$13,MATCH(D165,Parametros!$F$6:$F$13,0)),"")</f>
        <v/>
      </c>
      <c r="H165" s="19"/>
      <c r="I165" s="19"/>
      <c r="J165" s="20" t="str">
        <f aca="false">IF(OR(H165="",I165=""),"",H165-I165)</f>
        <v/>
      </c>
      <c r="K165" s="21" t="str">
        <f aca="false">IF(OR(J165="",I165=0),"",J165/I165)</f>
        <v/>
      </c>
      <c r="L165" s="12" t="str">
        <f aca="false">IF(H165="","",IF(I165="","Sin referencia",IF(ABS(K165)&lt;=Parametros!$B$3,"OK","Revisar")))</f>
        <v/>
      </c>
      <c r="M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2" t="str">
        <f aca="false">IFERROR(INDEX(Parametros!$G$6:$G$13,MATCH(D166,Parametros!$F$6:$F$13,0)),"")</f>
        <v/>
      </c>
      <c r="H166" s="19"/>
      <c r="I166" s="19"/>
      <c r="J166" s="20" t="str">
        <f aca="false">IF(OR(H166="",I166=""),"",H166-I166)</f>
        <v/>
      </c>
      <c r="K166" s="21" t="str">
        <f aca="false">IF(OR(J166="",I166=0),"",J166/I166)</f>
        <v/>
      </c>
      <c r="L166" s="12" t="str">
        <f aca="false">IF(H166="","",IF(I166="","Sin referencia",IF(ABS(K166)&lt;=Parametros!$B$3,"OK","Revisar")))</f>
        <v/>
      </c>
      <c r="M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2" t="str">
        <f aca="false">IFERROR(INDEX(Parametros!$G$6:$G$13,MATCH(D167,Parametros!$F$6:$F$13,0)),"")</f>
        <v/>
      </c>
      <c r="H167" s="19"/>
      <c r="I167" s="19"/>
      <c r="J167" s="20" t="str">
        <f aca="false">IF(OR(H167="",I167=""),"",H167-I167)</f>
        <v/>
      </c>
      <c r="K167" s="21" t="str">
        <f aca="false">IF(OR(J167="",I167=0),"",J167/I167)</f>
        <v/>
      </c>
      <c r="L167" s="12" t="str">
        <f aca="false">IF(H167="","",IF(I167="","Sin referencia",IF(ABS(K167)&lt;=Parametros!$B$3,"OK","Revisar")))</f>
        <v/>
      </c>
      <c r="M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2" t="str">
        <f aca="false">IFERROR(INDEX(Parametros!$G$6:$G$13,MATCH(D168,Parametros!$F$6:$F$13,0)),"")</f>
        <v/>
      </c>
      <c r="H168" s="19"/>
      <c r="I168" s="19"/>
      <c r="J168" s="20" t="str">
        <f aca="false">IF(OR(H168="",I168=""),"",H168-I168)</f>
        <v/>
      </c>
      <c r="K168" s="21" t="str">
        <f aca="false">IF(OR(J168="",I168=0),"",J168/I168)</f>
        <v/>
      </c>
      <c r="L168" s="12" t="str">
        <f aca="false">IF(H168="","",IF(I168="","Sin referencia",IF(ABS(K168)&lt;=Parametros!$B$3,"OK","Revisar")))</f>
        <v/>
      </c>
      <c r="M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2" t="str">
        <f aca="false">IFERROR(INDEX(Parametros!$G$6:$G$13,MATCH(D169,Parametros!$F$6:$F$13,0)),"")</f>
        <v/>
      </c>
      <c r="H169" s="19"/>
      <c r="I169" s="19"/>
      <c r="J169" s="20" t="str">
        <f aca="false">IF(OR(H169="",I169=""),"",H169-I169)</f>
        <v/>
      </c>
      <c r="K169" s="21" t="str">
        <f aca="false">IF(OR(J169="",I169=0),"",J169/I169)</f>
        <v/>
      </c>
      <c r="L169" s="12" t="str">
        <f aca="false">IF(H169="","",IF(I169="","Sin referencia",IF(ABS(K169)&lt;=Parametros!$B$3,"OK","Revisar")))</f>
        <v/>
      </c>
      <c r="M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2" t="str">
        <f aca="false">IFERROR(INDEX(Parametros!$G$6:$G$13,MATCH(D170,Parametros!$F$6:$F$13,0)),"")</f>
        <v/>
      </c>
      <c r="H170" s="19"/>
      <c r="I170" s="19"/>
      <c r="J170" s="20" t="str">
        <f aca="false">IF(OR(H170="",I170=""),"",H170-I170)</f>
        <v/>
      </c>
      <c r="K170" s="21" t="str">
        <f aca="false">IF(OR(J170="",I170=0),"",J170/I170)</f>
        <v/>
      </c>
      <c r="L170" s="12" t="str">
        <f aca="false">IF(H170="","",IF(I170="","Sin referencia",IF(ABS(K170)&lt;=Parametros!$B$3,"OK","Revisar")))</f>
        <v/>
      </c>
      <c r="M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2" t="str">
        <f aca="false">IFERROR(INDEX(Parametros!$G$6:$G$13,MATCH(D171,Parametros!$F$6:$F$13,0)),"")</f>
        <v/>
      </c>
      <c r="H171" s="19"/>
      <c r="I171" s="19"/>
      <c r="J171" s="20" t="str">
        <f aca="false">IF(OR(H171="",I171=""),"",H171-I171)</f>
        <v/>
      </c>
      <c r="K171" s="21" t="str">
        <f aca="false">IF(OR(J171="",I171=0),"",J171/I171)</f>
        <v/>
      </c>
      <c r="L171" s="12" t="str">
        <f aca="false">IF(H171="","",IF(I171="","Sin referencia",IF(ABS(K171)&lt;=Parametros!$B$3,"OK","Revisar")))</f>
        <v/>
      </c>
      <c r="M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2" t="str">
        <f aca="false">IFERROR(INDEX(Parametros!$G$6:$G$13,MATCH(D172,Parametros!$F$6:$F$13,0)),"")</f>
        <v/>
      </c>
      <c r="H172" s="19"/>
      <c r="I172" s="19"/>
      <c r="J172" s="20" t="str">
        <f aca="false">IF(OR(H172="",I172=""),"",H172-I172)</f>
        <v/>
      </c>
      <c r="K172" s="21" t="str">
        <f aca="false">IF(OR(J172="",I172=0),"",J172/I172)</f>
        <v/>
      </c>
      <c r="L172" s="12" t="str">
        <f aca="false">IF(H172="","",IF(I172="","Sin referencia",IF(ABS(K172)&lt;=Parametros!$B$3,"OK","Revisar")))</f>
        <v/>
      </c>
      <c r="M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2" t="str">
        <f aca="false">IFERROR(INDEX(Parametros!$G$6:$G$13,MATCH(D173,Parametros!$F$6:$F$13,0)),"")</f>
        <v/>
      </c>
      <c r="H173" s="19"/>
      <c r="I173" s="19"/>
      <c r="J173" s="20" t="str">
        <f aca="false">IF(OR(H173="",I173=""),"",H173-I173)</f>
        <v/>
      </c>
      <c r="K173" s="21" t="str">
        <f aca="false">IF(OR(J173="",I173=0),"",J173/I173)</f>
        <v/>
      </c>
      <c r="L173" s="12" t="str">
        <f aca="false">IF(H173="","",IF(I173="","Sin referencia",IF(ABS(K173)&lt;=Parametros!$B$3,"OK","Revisar")))</f>
        <v/>
      </c>
      <c r="M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2" t="str">
        <f aca="false">IFERROR(INDEX(Parametros!$G$6:$G$13,MATCH(D174,Parametros!$F$6:$F$13,0)),"")</f>
        <v/>
      </c>
      <c r="H174" s="19"/>
      <c r="I174" s="19"/>
      <c r="J174" s="20" t="str">
        <f aca="false">IF(OR(H174="",I174=""),"",H174-I174)</f>
        <v/>
      </c>
      <c r="K174" s="21" t="str">
        <f aca="false">IF(OR(J174="",I174=0),"",J174/I174)</f>
        <v/>
      </c>
      <c r="L174" s="12" t="str">
        <f aca="false">IF(H174="","",IF(I174="","Sin referencia",IF(ABS(K174)&lt;=Parametros!$B$3,"OK","Revisar")))</f>
        <v/>
      </c>
      <c r="M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2" t="str">
        <f aca="false">IFERROR(INDEX(Parametros!$G$6:$G$13,MATCH(D175,Parametros!$F$6:$F$13,0)),"")</f>
        <v/>
      </c>
      <c r="H175" s="19"/>
      <c r="I175" s="19"/>
      <c r="J175" s="20" t="str">
        <f aca="false">IF(OR(H175="",I175=""),"",H175-I175)</f>
        <v/>
      </c>
      <c r="K175" s="21" t="str">
        <f aca="false">IF(OR(J175="",I175=0),"",J175/I175)</f>
        <v/>
      </c>
      <c r="L175" s="12" t="str">
        <f aca="false">IF(H175="","",IF(I175="","Sin referencia",IF(ABS(K175)&lt;=Parametros!$B$3,"OK","Revisar")))</f>
        <v/>
      </c>
      <c r="M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2" t="str">
        <f aca="false">IFERROR(INDEX(Parametros!$G$6:$G$13,MATCH(D176,Parametros!$F$6:$F$13,0)),"")</f>
        <v/>
      </c>
      <c r="H176" s="19"/>
      <c r="I176" s="19"/>
      <c r="J176" s="20" t="str">
        <f aca="false">IF(OR(H176="",I176=""),"",H176-I176)</f>
        <v/>
      </c>
      <c r="K176" s="21" t="str">
        <f aca="false">IF(OR(J176="",I176=0),"",J176/I176)</f>
        <v/>
      </c>
      <c r="L176" s="12" t="str">
        <f aca="false">IF(H176="","",IF(I176="","Sin referencia",IF(ABS(K176)&lt;=Parametros!$B$3,"OK","Revisar")))</f>
        <v/>
      </c>
      <c r="M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2" t="str">
        <f aca="false">IFERROR(INDEX(Parametros!$G$6:$G$13,MATCH(D177,Parametros!$F$6:$F$13,0)),"")</f>
        <v/>
      </c>
      <c r="H177" s="19"/>
      <c r="I177" s="19"/>
      <c r="J177" s="20" t="str">
        <f aca="false">IF(OR(H177="",I177=""),"",H177-I177)</f>
        <v/>
      </c>
      <c r="K177" s="21" t="str">
        <f aca="false">IF(OR(J177="",I177=0),"",J177/I177)</f>
        <v/>
      </c>
      <c r="L177" s="12" t="str">
        <f aca="false">IF(H177="","",IF(I177="","Sin referencia",IF(ABS(K177)&lt;=Parametros!$B$3,"OK","Revisar")))</f>
        <v/>
      </c>
      <c r="M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2" t="str">
        <f aca="false">IFERROR(INDEX(Parametros!$G$6:$G$13,MATCH(D178,Parametros!$F$6:$F$13,0)),"")</f>
        <v/>
      </c>
      <c r="H178" s="19"/>
      <c r="I178" s="19"/>
      <c r="J178" s="20" t="str">
        <f aca="false">IF(OR(H178="",I178=""),"",H178-I178)</f>
        <v/>
      </c>
      <c r="K178" s="21" t="str">
        <f aca="false">IF(OR(J178="",I178=0),"",J178/I178)</f>
        <v/>
      </c>
      <c r="L178" s="12" t="str">
        <f aca="false">IF(H178="","",IF(I178="","Sin referencia",IF(ABS(K178)&lt;=Parametros!$B$3,"OK","Revisar")))</f>
        <v/>
      </c>
      <c r="M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2" t="str">
        <f aca="false">IFERROR(INDEX(Parametros!$G$6:$G$13,MATCH(D179,Parametros!$F$6:$F$13,0)),"")</f>
        <v/>
      </c>
      <c r="H179" s="19"/>
      <c r="I179" s="19"/>
      <c r="J179" s="20" t="str">
        <f aca="false">IF(OR(H179="",I179=""),"",H179-I179)</f>
        <v/>
      </c>
      <c r="K179" s="21" t="str">
        <f aca="false">IF(OR(J179="",I179=0),"",J179/I179)</f>
        <v/>
      </c>
      <c r="L179" s="12" t="str">
        <f aca="false">IF(H179="","",IF(I179="","Sin referencia",IF(ABS(K179)&lt;=Parametros!$B$3,"OK","Revisar")))</f>
        <v/>
      </c>
      <c r="M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2" t="str">
        <f aca="false">IFERROR(INDEX(Parametros!$G$6:$G$13,MATCH(D180,Parametros!$F$6:$F$13,0)),"")</f>
        <v/>
      </c>
      <c r="H180" s="19"/>
      <c r="I180" s="19"/>
      <c r="J180" s="20" t="str">
        <f aca="false">IF(OR(H180="",I180=""),"",H180-I180)</f>
        <v/>
      </c>
      <c r="K180" s="21" t="str">
        <f aca="false">IF(OR(J180="",I180=0),"",J180/I180)</f>
        <v/>
      </c>
      <c r="L180" s="12" t="str">
        <f aca="false">IF(H180="","",IF(I180="","Sin referencia",IF(ABS(K180)&lt;=Parametros!$B$3,"OK","Revisar")))</f>
        <v/>
      </c>
      <c r="M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2" t="str">
        <f aca="false">IFERROR(INDEX(Parametros!$G$6:$G$13,MATCH(D181,Parametros!$F$6:$F$13,0)),"")</f>
        <v/>
      </c>
      <c r="H181" s="19"/>
      <c r="I181" s="19"/>
      <c r="J181" s="20" t="str">
        <f aca="false">IF(OR(H181="",I181=""),"",H181-I181)</f>
        <v/>
      </c>
      <c r="K181" s="21" t="str">
        <f aca="false">IF(OR(J181="",I181=0),"",J181/I181)</f>
        <v/>
      </c>
      <c r="L181" s="12" t="str">
        <f aca="false">IF(H181="","",IF(I181="","Sin referencia",IF(ABS(K181)&lt;=Parametros!$B$3,"OK","Revisar")))</f>
        <v/>
      </c>
      <c r="M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2" t="str">
        <f aca="false">IFERROR(INDEX(Parametros!$G$6:$G$13,MATCH(D182,Parametros!$F$6:$F$13,0)),"")</f>
        <v/>
      </c>
      <c r="H182" s="19"/>
      <c r="I182" s="19"/>
      <c r="J182" s="20" t="str">
        <f aca="false">IF(OR(H182="",I182=""),"",H182-I182)</f>
        <v/>
      </c>
      <c r="K182" s="21" t="str">
        <f aca="false">IF(OR(J182="",I182=0),"",J182/I182)</f>
        <v/>
      </c>
      <c r="L182" s="12" t="str">
        <f aca="false">IF(H182="","",IF(I182="","Sin referencia",IF(ABS(K182)&lt;=Parametros!$B$3,"OK","Revisar")))</f>
        <v/>
      </c>
      <c r="M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2" t="str">
        <f aca="false">IFERROR(INDEX(Parametros!$G$6:$G$13,MATCH(D183,Parametros!$F$6:$F$13,0)),"")</f>
        <v/>
      </c>
      <c r="H183" s="19"/>
      <c r="I183" s="19"/>
      <c r="J183" s="20" t="str">
        <f aca="false">IF(OR(H183="",I183=""),"",H183-I183)</f>
        <v/>
      </c>
      <c r="K183" s="21" t="str">
        <f aca="false">IF(OR(J183="",I183=0),"",J183/I183)</f>
        <v/>
      </c>
      <c r="L183" s="12" t="str">
        <f aca="false">IF(H183="","",IF(I183="","Sin referencia",IF(ABS(K183)&lt;=Parametros!$B$3,"OK","Revisar")))</f>
        <v/>
      </c>
      <c r="M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2" t="str">
        <f aca="false">IFERROR(INDEX(Parametros!$G$6:$G$13,MATCH(D184,Parametros!$F$6:$F$13,0)),"")</f>
        <v/>
      </c>
      <c r="H184" s="19"/>
      <c r="I184" s="19"/>
      <c r="J184" s="20" t="str">
        <f aca="false">IF(OR(H184="",I184=""),"",H184-I184)</f>
        <v/>
      </c>
      <c r="K184" s="21" t="str">
        <f aca="false">IF(OR(J184="",I184=0),"",J184/I184)</f>
        <v/>
      </c>
      <c r="L184" s="12" t="str">
        <f aca="false">IF(H184="","",IF(I184="","Sin referencia",IF(ABS(K184)&lt;=Parametros!$B$3,"OK","Revisar")))</f>
        <v/>
      </c>
      <c r="M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2" t="str">
        <f aca="false">IFERROR(INDEX(Parametros!$G$6:$G$13,MATCH(D185,Parametros!$F$6:$F$13,0)),"")</f>
        <v/>
      </c>
      <c r="H185" s="19"/>
      <c r="I185" s="19"/>
      <c r="J185" s="20" t="str">
        <f aca="false">IF(OR(H185="",I185=""),"",H185-I185)</f>
        <v/>
      </c>
      <c r="K185" s="21" t="str">
        <f aca="false">IF(OR(J185="",I185=0),"",J185/I185)</f>
        <v/>
      </c>
      <c r="L185" s="12" t="str">
        <f aca="false">IF(H185="","",IF(I185="","Sin referencia",IF(ABS(K185)&lt;=Parametros!$B$3,"OK","Revisar")))</f>
        <v/>
      </c>
      <c r="M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2" t="str">
        <f aca="false">IFERROR(INDEX(Parametros!$G$6:$G$13,MATCH(D186,Parametros!$F$6:$F$13,0)),"")</f>
        <v/>
      </c>
      <c r="H186" s="19"/>
      <c r="I186" s="19"/>
      <c r="J186" s="20" t="str">
        <f aca="false">IF(OR(H186="",I186=""),"",H186-I186)</f>
        <v/>
      </c>
      <c r="K186" s="21" t="str">
        <f aca="false">IF(OR(J186="",I186=0),"",J186/I186)</f>
        <v/>
      </c>
      <c r="L186" s="12" t="str">
        <f aca="false">IF(H186="","",IF(I186="","Sin referencia",IF(ABS(K186)&lt;=Parametros!$B$3,"OK","Revisar")))</f>
        <v/>
      </c>
      <c r="M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2" t="str">
        <f aca="false">IFERROR(INDEX(Parametros!$G$6:$G$13,MATCH(D187,Parametros!$F$6:$F$13,0)),"")</f>
        <v/>
      </c>
      <c r="H187" s="19"/>
      <c r="I187" s="19"/>
      <c r="J187" s="20" t="str">
        <f aca="false">IF(OR(H187="",I187=""),"",H187-I187)</f>
        <v/>
      </c>
      <c r="K187" s="21" t="str">
        <f aca="false">IF(OR(J187="",I187=0),"",J187/I187)</f>
        <v/>
      </c>
      <c r="L187" s="12" t="str">
        <f aca="false">IF(H187="","",IF(I187="","Sin referencia",IF(ABS(K187)&lt;=Parametros!$B$3,"OK","Revisar")))</f>
        <v/>
      </c>
      <c r="M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2" t="str">
        <f aca="false">IFERROR(INDEX(Parametros!$G$6:$G$13,MATCH(D188,Parametros!$F$6:$F$13,0)),"")</f>
        <v/>
      </c>
      <c r="H188" s="19"/>
      <c r="I188" s="19"/>
      <c r="J188" s="20" t="str">
        <f aca="false">IF(OR(H188="",I188=""),"",H188-I188)</f>
        <v/>
      </c>
      <c r="K188" s="21" t="str">
        <f aca="false">IF(OR(J188="",I188=0),"",J188/I188)</f>
        <v/>
      </c>
      <c r="L188" s="12" t="str">
        <f aca="false">IF(H188="","",IF(I188="","Sin referencia",IF(ABS(K188)&lt;=Parametros!$B$3,"OK","Revisar")))</f>
        <v/>
      </c>
      <c r="M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2" t="str">
        <f aca="false">IFERROR(INDEX(Parametros!$G$6:$G$13,MATCH(D189,Parametros!$F$6:$F$13,0)),"")</f>
        <v/>
      </c>
      <c r="H189" s="19"/>
      <c r="I189" s="19"/>
      <c r="J189" s="20" t="str">
        <f aca="false">IF(OR(H189="",I189=""),"",H189-I189)</f>
        <v/>
      </c>
      <c r="K189" s="21" t="str">
        <f aca="false">IF(OR(J189="",I189=0),"",J189/I189)</f>
        <v/>
      </c>
      <c r="L189" s="12" t="str">
        <f aca="false">IF(H189="","",IF(I189="","Sin referencia",IF(ABS(K189)&lt;=Parametros!$B$3,"OK","Revisar")))</f>
        <v/>
      </c>
      <c r="M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2" t="str">
        <f aca="false">IFERROR(INDEX(Parametros!$G$6:$G$13,MATCH(D190,Parametros!$F$6:$F$13,0)),"")</f>
        <v/>
      </c>
      <c r="H190" s="19"/>
      <c r="I190" s="19"/>
      <c r="J190" s="20" t="str">
        <f aca="false">IF(OR(H190="",I190=""),"",H190-I190)</f>
        <v/>
      </c>
      <c r="K190" s="21" t="str">
        <f aca="false">IF(OR(J190="",I190=0),"",J190/I190)</f>
        <v/>
      </c>
      <c r="L190" s="12" t="str">
        <f aca="false">IF(H190="","",IF(I190="","Sin referencia",IF(ABS(K190)&lt;=Parametros!$B$3,"OK","Revisar")))</f>
        <v/>
      </c>
      <c r="M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2" t="str">
        <f aca="false">IFERROR(INDEX(Parametros!$G$6:$G$13,MATCH(D191,Parametros!$F$6:$F$13,0)),"")</f>
        <v/>
      </c>
      <c r="H191" s="19"/>
      <c r="I191" s="19"/>
      <c r="J191" s="20" t="str">
        <f aca="false">IF(OR(H191="",I191=""),"",H191-I191)</f>
        <v/>
      </c>
      <c r="K191" s="21" t="str">
        <f aca="false">IF(OR(J191="",I191=0),"",J191/I191)</f>
        <v/>
      </c>
      <c r="L191" s="12" t="str">
        <f aca="false">IF(H191="","",IF(I191="","Sin referencia",IF(ABS(K191)&lt;=Parametros!$B$3,"OK","Revisar")))</f>
        <v/>
      </c>
      <c r="M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2" t="str">
        <f aca="false">IFERROR(INDEX(Parametros!$G$6:$G$13,MATCH(D192,Parametros!$F$6:$F$13,0)),"")</f>
        <v/>
      </c>
      <c r="H192" s="19"/>
      <c r="I192" s="19"/>
      <c r="J192" s="20" t="str">
        <f aca="false">IF(OR(H192="",I192=""),"",H192-I192)</f>
        <v/>
      </c>
      <c r="K192" s="21" t="str">
        <f aca="false">IF(OR(J192="",I192=0),"",J192/I192)</f>
        <v/>
      </c>
      <c r="L192" s="12" t="str">
        <f aca="false">IF(H192="","",IF(I192="","Sin referencia",IF(ABS(K192)&lt;=Parametros!$B$3,"OK","Revisar")))</f>
        <v/>
      </c>
      <c r="M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2" t="str">
        <f aca="false">IFERROR(INDEX(Parametros!$G$6:$G$13,MATCH(D193,Parametros!$F$6:$F$13,0)),"")</f>
        <v/>
      </c>
      <c r="H193" s="19"/>
      <c r="I193" s="19"/>
      <c r="J193" s="20" t="str">
        <f aca="false">IF(OR(H193="",I193=""),"",H193-I193)</f>
        <v/>
      </c>
      <c r="K193" s="21" t="str">
        <f aca="false">IF(OR(J193="",I193=0),"",J193/I193)</f>
        <v/>
      </c>
      <c r="L193" s="12" t="str">
        <f aca="false">IF(H193="","",IF(I193="","Sin referencia",IF(ABS(K193)&lt;=Parametros!$B$3,"OK","Revisar")))</f>
        <v/>
      </c>
      <c r="M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2" t="str">
        <f aca="false">IFERROR(INDEX(Parametros!$G$6:$G$13,MATCH(D194,Parametros!$F$6:$F$13,0)),"")</f>
        <v/>
      </c>
      <c r="H194" s="19"/>
      <c r="I194" s="19"/>
      <c r="J194" s="20" t="str">
        <f aca="false">IF(OR(H194="",I194=""),"",H194-I194)</f>
        <v/>
      </c>
      <c r="K194" s="21" t="str">
        <f aca="false">IF(OR(J194="",I194=0),"",J194/I194)</f>
        <v/>
      </c>
      <c r="L194" s="12" t="str">
        <f aca="false">IF(H194="","",IF(I194="","Sin referencia",IF(ABS(K194)&lt;=Parametros!$B$3,"OK","Revisar")))</f>
        <v/>
      </c>
      <c r="M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2" t="str">
        <f aca="false">IFERROR(INDEX(Parametros!$G$6:$G$13,MATCH(D195,Parametros!$F$6:$F$13,0)),"")</f>
        <v/>
      </c>
      <c r="H195" s="19"/>
      <c r="I195" s="19"/>
      <c r="J195" s="20" t="str">
        <f aca="false">IF(OR(H195="",I195=""),"",H195-I195)</f>
        <v/>
      </c>
      <c r="K195" s="21" t="str">
        <f aca="false">IF(OR(J195="",I195=0),"",J195/I195)</f>
        <v/>
      </c>
      <c r="L195" s="12" t="str">
        <f aca="false">IF(H195="","",IF(I195="","Sin referencia",IF(ABS(K195)&lt;=Parametros!$B$3,"OK","Revisar")))</f>
        <v/>
      </c>
      <c r="M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2" t="str">
        <f aca="false">IFERROR(INDEX(Parametros!$G$6:$G$13,MATCH(D196,Parametros!$F$6:$F$13,0)),"")</f>
        <v/>
      </c>
      <c r="H196" s="19"/>
      <c r="I196" s="19"/>
      <c r="J196" s="20" t="str">
        <f aca="false">IF(OR(H196="",I196=""),"",H196-I196)</f>
        <v/>
      </c>
      <c r="K196" s="21" t="str">
        <f aca="false">IF(OR(J196="",I196=0),"",J196/I196)</f>
        <v/>
      </c>
      <c r="L196" s="12" t="str">
        <f aca="false">IF(H196="","",IF(I196="","Sin referencia",IF(ABS(K196)&lt;=Parametros!$B$3,"OK","Revisar")))</f>
        <v/>
      </c>
      <c r="M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2" t="str">
        <f aca="false">IFERROR(INDEX(Parametros!$G$6:$G$13,MATCH(D197,Parametros!$F$6:$F$13,0)),"")</f>
        <v/>
      </c>
      <c r="H197" s="19"/>
      <c r="I197" s="19"/>
      <c r="J197" s="20" t="str">
        <f aca="false">IF(OR(H197="",I197=""),"",H197-I197)</f>
        <v/>
      </c>
      <c r="K197" s="21" t="str">
        <f aca="false">IF(OR(J197="",I197=0),"",J197/I197)</f>
        <v/>
      </c>
      <c r="L197" s="12" t="str">
        <f aca="false">IF(H197="","",IF(I197="","Sin referencia",IF(ABS(K197)&lt;=Parametros!$B$3,"OK","Revisar")))</f>
        <v/>
      </c>
      <c r="M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2" t="str">
        <f aca="false">IFERROR(INDEX(Parametros!$G$6:$G$13,MATCH(D198,Parametros!$F$6:$F$13,0)),"")</f>
        <v/>
      </c>
      <c r="H198" s="19"/>
      <c r="I198" s="19"/>
      <c r="J198" s="20" t="str">
        <f aca="false">IF(OR(H198="",I198=""),"",H198-I198)</f>
        <v/>
      </c>
      <c r="K198" s="21" t="str">
        <f aca="false">IF(OR(J198="",I198=0),"",J198/I198)</f>
        <v/>
      </c>
      <c r="L198" s="12" t="str">
        <f aca="false">IF(H198="","",IF(I198="","Sin referencia",IF(ABS(K198)&lt;=Parametros!$B$3,"OK","Revisar")))</f>
        <v/>
      </c>
      <c r="M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2" t="str">
        <f aca="false">IFERROR(INDEX(Parametros!$G$6:$G$13,MATCH(D199,Parametros!$F$6:$F$13,0)),"")</f>
        <v/>
      </c>
      <c r="H199" s="19"/>
      <c r="I199" s="19"/>
      <c r="J199" s="20" t="str">
        <f aca="false">IF(OR(H199="",I199=""),"",H199-I199)</f>
        <v/>
      </c>
      <c r="K199" s="21" t="str">
        <f aca="false">IF(OR(J199="",I199=0),"",J199/I199)</f>
        <v/>
      </c>
      <c r="L199" s="12" t="str">
        <f aca="false">IF(H199="","",IF(I199="","Sin referencia",IF(ABS(K199)&lt;=Parametros!$B$3,"OK","Revisar")))</f>
        <v/>
      </c>
      <c r="M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2" t="str">
        <f aca="false">IFERROR(INDEX(Parametros!$G$6:$G$13,MATCH(D200,Parametros!$F$6:$F$13,0)),"")</f>
        <v/>
      </c>
      <c r="H200" s="19"/>
      <c r="I200" s="19"/>
      <c r="J200" s="20" t="str">
        <f aca="false">IF(OR(H200="",I200=""),"",H200-I200)</f>
        <v/>
      </c>
      <c r="K200" s="21" t="str">
        <f aca="false">IF(OR(J200="",I200=0),"",J200/I200)</f>
        <v/>
      </c>
      <c r="L200" s="12" t="str">
        <f aca="false">IF(H200="","",IF(I200="","Sin referencia",IF(ABS(K200)&lt;=Parametros!$B$3,"OK","Revisar")))</f>
        <v/>
      </c>
      <c r="M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2" t="str">
        <f aca="false">IFERROR(INDEX(Parametros!$G$6:$G$13,MATCH(D201,Parametros!$F$6:$F$13,0)),"")</f>
        <v/>
      </c>
      <c r="H201" s="19"/>
      <c r="I201" s="19"/>
      <c r="J201" s="20" t="str">
        <f aca="false">IF(OR(H201="",I201=""),"",H201-I201)</f>
        <v/>
      </c>
      <c r="K201" s="21" t="str">
        <f aca="false">IF(OR(J201="",I201=0),"",J201/I201)</f>
        <v/>
      </c>
      <c r="L201" s="12" t="str">
        <f aca="false">IF(H201="","",IF(I201="","Sin referencia",IF(ABS(K201)&lt;=Parametros!$B$3,"OK","Revisar")))</f>
        <v/>
      </c>
      <c r="M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2" t="str">
        <f aca="false">IFERROR(INDEX(Parametros!$G$6:$G$13,MATCH(D202,Parametros!$F$6:$F$13,0)),"")</f>
        <v/>
      </c>
      <c r="H202" s="19"/>
      <c r="I202" s="19"/>
      <c r="J202" s="20" t="str">
        <f aca="false">IF(OR(H202="",I202=""),"",H202-I202)</f>
        <v/>
      </c>
      <c r="K202" s="21" t="str">
        <f aca="false">IF(OR(J202="",I202=0),"",J202/I202)</f>
        <v/>
      </c>
      <c r="L202" s="12" t="str">
        <f aca="false">IF(H202="","",IF(I202="","Sin referencia",IF(ABS(K202)&lt;=Parametros!$B$3,"OK","Revisar")))</f>
        <v/>
      </c>
      <c r="M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2" t="str">
        <f aca="false">IFERROR(INDEX(Parametros!$G$6:$G$13,MATCH(D203,Parametros!$F$6:$F$13,0)),"")</f>
        <v/>
      </c>
      <c r="H203" s="19"/>
      <c r="I203" s="19"/>
      <c r="J203" s="20" t="str">
        <f aca="false">IF(OR(H203="",I203=""),"",H203-I203)</f>
        <v/>
      </c>
      <c r="K203" s="21" t="str">
        <f aca="false">IF(OR(J203="",I203=0),"",J203/I203)</f>
        <v/>
      </c>
      <c r="L203" s="12" t="str">
        <f aca="false">IF(H203="","",IF(I203="","Sin referencia",IF(ABS(K203)&lt;=Parametros!$B$3,"OK","Revisar")))</f>
        <v/>
      </c>
      <c r="M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2" t="str">
        <f aca="false">IFERROR(INDEX(Parametros!$G$6:$G$13,MATCH(D204,Parametros!$F$6:$F$13,0)),"")</f>
        <v/>
      </c>
      <c r="H204" s="19"/>
      <c r="I204" s="19"/>
      <c r="J204" s="20" t="str">
        <f aca="false">IF(OR(H204="",I204=""),"",H204-I204)</f>
        <v/>
      </c>
      <c r="K204" s="21" t="str">
        <f aca="false">IF(OR(J204="",I204=0),"",J204/I204)</f>
        <v/>
      </c>
      <c r="L204" s="12" t="str">
        <f aca="false">IF(H204="","",IF(I204="","Sin referencia",IF(ABS(K204)&lt;=Parametros!$B$3,"OK","Revisar")))</f>
        <v/>
      </c>
      <c r="M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2" t="str">
        <f aca="false">IFERROR(INDEX(Parametros!$G$6:$G$13,MATCH(D205,Parametros!$F$6:$F$13,0)),"")</f>
        <v/>
      </c>
      <c r="H205" s="19"/>
      <c r="I205" s="19"/>
      <c r="J205" s="20" t="str">
        <f aca="false">IF(OR(H205="",I205=""),"",H205-I205)</f>
        <v/>
      </c>
      <c r="K205" s="21" t="str">
        <f aca="false">IF(OR(J205="",I205=0),"",J205/I205)</f>
        <v/>
      </c>
      <c r="L205" s="12" t="str">
        <f aca="false">IF(H205="","",IF(I205="","Sin referencia",IF(ABS(K205)&lt;=Parametros!$B$3,"OK","Revisar")))</f>
        <v/>
      </c>
      <c r="M205" s="13"/>
    </row>
  </sheetData>
  <dataValidations count="2">
    <dataValidation allowBlank="true" errorStyle="stop" operator="between" showDropDown="false" showErrorMessage="false" showInputMessage="false" sqref="C6:C205" type="list">
      <formula1>Parametros!$D$6:$D$11</formula1>
      <formula2>0</formula2>
    </dataValidation>
    <dataValidation allowBlank="true" errorStyle="stop" operator="between" showDropDown="false" showErrorMessage="false" showInputMessage="false" sqref="D6:D205" type="list">
      <formula1>Parametros!$F$6:$F$13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8" min="3" style="0" width="13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7" t="s">
        <v>54</v>
      </c>
    </row>
    <row r="5" customFormat="false" ht="31.5" hidden="false" customHeight="true" outlineLevel="0" collapsed="false">
      <c r="A5" s="11" t="s">
        <v>17</v>
      </c>
      <c r="B5" s="11" t="s">
        <v>18</v>
      </c>
      <c r="C5" s="11" t="str">
        <f aca="false">IF(Parametros!$D$6="","",Parametros!$D$6)</f>
        <v>Cimentación</v>
      </c>
      <c r="D5" s="11" t="str">
        <f aca="false">IF(Parametros!$D$7="","",Parametros!$D$7)</f>
        <v>Nivel 1</v>
      </c>
      <c r="E5" s="11" t="str">
        <f aca="false">IF(Parametros!$D$8="","",Parametros!$D$8)</f>
        <v>Nivel 2</v>
      </c>
      <c r="F5" s="11" t="str">
        <f aca="false">IF(Parametros!$D$9="","",Parametros!$D$9)</f>
        <v>Cubierta</v>
      </c>
      <c r="G5" s="11" t="str">
        <f aca="false">IF(Parametros!$D$10="","",Parametros!$D$10)</f>
        <v/>
      </c>
      <c r="H5" s="11" t="str">
        <f aca="false">IF(Parametros!$D$11="","",Parametros!$D$11)</f>
        <v/>
      </c>
      <c r="I5" s="11" t="s">
        <v>55</v>
      </c>
      <c r="J5" s="11" t="s">
        <v>56</v>
      </c>
      <c r="K5" s="11" t="s">
        <v>44</v>
      </c>
      <c r="L5" s="11" t="s">
        <v>45</v>
      </c>
    </row>
    <row r="6" customFormat="false" ht="15" hidden="false" customHeight="false" outlineLevel="0" collapsed="false">
      <c r="A6" s="12" t="str">
        <f aca="false">Parametros!F6</f>
        <v>Concreto</v>
      </c>
      <c r="B6" s="12" t="str">
        <f aca="false">Parametros!G6</f>
        <v>m³</v>
      </c>
      <c r="C6" s="20" t="n">
        <f aca="false">IF(C$5="","",SUMIFS(QTO!$H$6:$H$205,QTO!$D$6:$D$205,$A6,QTO!$C$6:$C$205,C$5))</f>
        <v>12.4</v>
      </c>
      <c r="D6" s="20" t="n">
        <f aca="false">IF(D$5="","",SUMIFS(QTO!$H$6:$H$205,QTO!$D$6:$D$205,$A6,QTO!$C$6:$C$205,D$5))</f>
        <v>0</v>
      </c>
      <c r="E6" s="20" t="n">
        <f aca="false">IF(E$5="","",SUMIFS(QTO!$H$6:$H$205,QTO!$D$6:$D$205,$A6,QTO!$C$6:$C$205,E$5))</f>
        <v>0</v>
      </c>
      <c r="F6" s="20" t="n">
        <f aca="false">IF(F$5="","",SUMIFS(QTO!$H$6:$H$205,QTO!$D$6:$D$205,$A6,QTO!$C$6:$C$205,F$5))</f>
        <v>0</v>
      </c>
      <c r="G6" s="20" t="str">
        <f aca="false">IF(G$5="","",SUMIFS(QTO!$H$6:$H$205,QTO!$D$6:$D$205,$A6,QTO!$C$6:$C$205,G$5))</f>
        <v/>
      </c>
      <c r="H6" s="20" t="str">
        <f aca="false">IF(H$5="","",SUMIFS(QTO!$H$6:$H$205,QTO!$D$6:$D$205,$A6,QTO!$C$6:$C$205,H$5))</f>
        <v/>
      </c>
      <c r="I6" s="20" t="n">
        <f aca="false">SUMIFS(QTO!$H$6:$H$205,QTO!$D$6:$D$205,$A6)</f>
        <v>12.4</v>
      </c>
      <c r="J6" s="20" t="n">
        <f aca="false">SUMIFS(QTO!$I$6:$I$205,QTO!$D$6:$D$205,$A6)</f>
        <v>12</v>
      </c>
      <c r="K6" s="20" t="n">
        <f aca="false">I6-J6</f>
        <v>0.4</v>
      </c>
      <c r="L6" s="21" t="n">
        <f aca="false">IF(J6=0,"",K6/J6)</f>
        <v>0.0333333333333334</v>
      </c>
    </row>
    <row r="7" customFormat="false" ht="15" hidden="false" customHeight="false" outlineLevel="0" collapsed="false">
      <c r="A7" s="12" t="str">
        <f aca="false">Parametros!F7</f>
        <v>Formaleta</v>
      </c>
      <c r="B7" s="12" t="str">
        <f aca="false">Parametros!G7</f>
        <v>m²</v>
      </c>
      <c r="C7" s="20" t="n">
        <f aca="false">IF(C$5="","",SUMIFS(QTO!$H$6:$H$205,QTO!$D$6:$D$205,$A7,QTO!$C$6:$C$205,C$5))</f>
        <v>0</v>
      </c>
      <c r="D7" s="20" t="n">
        <f aca="false">IF(D$5="","",SUMIFS(QTO!$H$6:$H$205,QTO!$D$6:$D$205,$A7,QTO!$C$6:$C$205,D$5))</f>
        <v>0</v>
      </c>
      <c r="E7" s="20" t="n">
        <f aca="false">IF(E$5="","",SUMIFS(QTO!$H$6:$H$205,QTO!$D$6:$D$205,$A7,QTO!$C$6:$C$205,E$5))</f>
        <v>0</v>
      </c>
      <c r="F7" s="20" t="n">
        <f aca="false">IF(F$5="","",SUMIFS(QTO!$H$6:$H$205,QTO!$D$6:$D$205,$A7,QTO!$C$6:$C$205,F$5))</f>
        <v>0</v>
      </c>
      <c r="G7" s="20" t="str">
        <f aca="false">IF(G$5="","",SUMIFS(QTO!$H$6:$H$205,QTO!$D$6:$D$205,$A7,QTO!$C$6:$C$205,G$5))</f>
        <v/>
      </c>
      <c r="H7" s="20" t="str">
        <f aca="false">IF(H$5="","",SUMIFS(QTO!$H$6:$H$205,QTO!$D$6:$D$205,$A7,QTO!$C$6:$C$205,H$5))</f>
        <v/>
      </c>
      <c r="I7" s="20" t="n">
        <f aca="false">SUMIFS(QTO!$H$6:$H$205,QTO!$D$6:$D$205,$A7)</f>
        <v>0</v>
      </c>
      <c r="J7" s="20" t="n">
        <f aca="false">SUMIFS(QTO!$I$6:$I$205,QTO!$D$6:$D$205,$A7)</f>
        <v>0</v>
      </c>
      <c r="K7" s="20" t="n">
        <f aca="false">I7-J7</f>
        <v>0</v>
      </c>
      <c r="L7" s="21" t="str">
        <f aca="false">IF(J7=0,"",K7/J7)</f>
        <v/>
      </c>
    </row>
    <row r="8" customFormat="false" ht="15" hidden="false" customHeight="false" outlineLevel="0" collapsed="false">
      <c r="A8" s="12" t="str">
        <f aca="false">Parametros!F8</f>
        <v>Acero de refuerzo</v>
      </c>
      <c r="B8" s="12" t="str">
        <f aca="false">Parametros!G8</f>
        <v>kg</v>
      </c>
      <c r="C8" s="20" t="n">
        <f aca="false">IF(C$5="","",SUMIFS(QTO!$H$6:$H$205,QTO!$D$6:$D$205,$A8,QTO!$C$6:$C$205,C$5))</f>
        <v>0</v>
      </c>
      <c r="D8" s="20" t="n">
        <f aca="false">IF(D$5="","",SUMIFS(QTO!$H$6:$H$205,QTO!$D$6:$D$205,$A8,QTO!$C$6:$C$205,D$5))</f>
        <v>0</v>
      </c>
      <c r="E8" s="20" t="n">
        <f aca="false">IF(E$5="","",SUMIFS(QTO!$H$6:$H$205,QTO!$D$6:$D$205,$A8,QTO!$C$6:$C$205,E$5))</f>
        <v>0</v>
      </c>
      <c r="F8" s="20" t="n">
        <f aca="false">IF(F$5="","",SUMIFS(QTO!$H$6:$H$205,QTO!$D$6:$D$205,$A8,QTO!$C$6:$C$205,F$5))</f>
        <v>0</v>
      </c>
      <c r="G8" s="20" t="str">
        <f aca="false">IF(G$5="","",SUMIFS(QTO!$H$6:$H$205,QTO!$D$6:$D$205,$A8,QTO!$C$6:$C$205,G$5))</f>
        <v/>
      </c>
      <c r="H8" s="20" t="str">
        <f aca="false">IF(H$5="","",SUMIFS(QTO!$H$6:$H$205,QTO!$D$6:$D$205,$A8,QTO!$C$6:$C$205,H$5))</f>
        <v/>
      </c>
      <c r="I8" s="20" t="n">
        <f aca="false">SUMIFS(QTO!$H$6:$H$205,QTO!$D$6:$D$205,$A8)</f>
        <v>0</v>
      </c>
      <c r="J8" s="20" t="n">
        <f aca="false">SUMIFS(QTO!$I$6:$I$205,QTO!$D$6:$D$205,$A8)</f>
        <v>0</v>
      </c>
      <c r="K8" s="20" t="n">
        <f aca="false">I8-J8</f>
        <v>0</v>
      </c>
      <c r="L8" s="21" t="str">
        <f aca="false">IF(J8=0,"",K8/J8)</f>
        <v/>
      </c>
    </row>
    <row r="9" customFormat="false" ht="15" hidden="false" customHeight="false" outlineLevel="0" collapsed="false">
      <c r="A9" s="12" t="str">
        <f aca="false">Parametros!F9</f>
        <v>Mampostería</v>
      </c>
      <c r="B9" s="12" t="str">
        <f aca="false">Parametros!G9</f>
        <v>m³</v>
      </c>
      <c r="C9" s="20" t="n">
        <f aca="false">IF(C$5="","",SUMIFS(QTO!$H$6:$H$205,QTO!$D$6:$D$205,$A9,QTO!$C$6:$C$205,C$5))</f>
        <v>0</v>
      </c>
      <c r="D9" s="20" t="n">
        <f aca="false">IF(D$5="","",SUMIFS(QTO!$H$6:$H$205,QTO!$D$6:$D$205,$A9,QTO!$C$6:$C$205,D$5))</f>
        <v>0</v>
      </c>
      <c r="E9" s="20" t="n">
        <f aca="false">IF(E$5="","",SUMIFS(QTO!$H$6:$H$205,QTO!$D$6:$D$205,$A9,QTO!$C$6:$C$205,E$5))</f>
        <v>0</v>
      </c>
      <c r="F9" s="20" t="n">
        <f aca="false">IF(F$5="","",SUMIFS(QTO!$H$6:$H$205,QTO!$D$6:$D$205,$A9,QTO!$C$6:$C$205,F$5))</f>
        <v>0</v>
      </c>
      <c r="G9" s="20" t="str">
        <f aca="false">IF(G$5="","",SUMIFS(QTO!$H$6:$H$205,QTO!$D$6:$D$205,$A9,QTO!$C$6:$C$205,G$5))</f>
        <v/>
      </c>
      <c r="H9" s="20" t="str">
        <f aca="false">IF(H$5="","",SUMIFS(QTO!$H$6:$H$205,QTO!$D$6:$D$205,$A9,QTO!$C$6:$C$205,H$5))</f>
        <v/>
      </c>
      <c r="I9" s="20" t="n">
        <f aca="false">SUMIFS(QTO!$H$6:$H$205,QTO!$D$6:$D$205,$A9)</f>
        <v>0</v>
      </c>
      <c r="J9" s="20" t="n">
        <f aca="false">SUMIFS(QTO!$I$6:$I$205,QTO!$D$6:$D$205,$A9)</f>
        <v>0</v>
      </c>
      <c r="K9" s="20" t="n">
        <f aca="false">I9-J9</f>
        <v>0</v>
      </c>
      <c r="L9" s="21" t="str">
        <f aca="false">IF(J9=0,"",K9/J9)</f>
        <v/>
      </c>
    </row>
    <row r="10" customFormat="false" ht="15" hidden="false" customHeight="false" outlineLevel="0" collapsed="false">
      <c r="A10" s="12" t="str">
        <f aca="false">Parametros!F10</f>
        <v>Acabados - Pisos</v>
      </c>
      <c r="B10" s="12" t="str">
        <f aca="false">Parametros!G10</f>
        <v>m²</v>
      </c>
      <c r="C10" s="20" t="n">
        <f aca="false">IF(C$5="","",SUMIFS(QTO!$H$6:$H$205,QTO!$D$6:$D$205,$A10,QTO!$C$6:$C$205,C$5))</f>
        <v>0</v>
      </c>
      <c r="D10" s="20" t="n">
        <f aca="false">IF(D$5="","",SUMIFS(QTO!$H$6:$H$205,QTO!$D$6:$D$205,$A10,QTO!$C$6:$C$205,D$5))</f>
        <v>0</v>
      </c>
      <c r="E10" s="20" t="n">
        <f aca="false">IF(E$5="","",SUMIFS(QTO!$H$6:$H$205,QTO!$D$6:$D$205,$A10,QTO!$C$6:$C$205,E$5))</f>
        <v>0</v>
      </c>
      <c r="F10" s="20" t="n">
        <f aca="false">IF(F$5="","",SUMIFS(QTO!$H$6:$H$205,QTO!$D$6:$D$205,$A10,QTO!$C$6:$C$205,F$5))</f>
        <v>0</v>
      </c>
      <c r="G10" s="20" t="str">
        <f aca="false">IF(G$5="","",SUMIFS(QTO!$H$6:$H$205,QTO!$D$6:$D$205,$A10,QTO!$C$6:$C$205,G$5))</f>
        <v/>
      </c>
      <c r="H10" s="20" t="str">
        <f aca="false">IF(H$5="","",SUMIFS(QTO!$H$6:$H$205,QTO!$D$6:$D$205,$A10,QTO!$C$6:$C$205,H$5))</f>
        <v/>
      </c>
      <c r="I10" s="20" t="n">
        <f aca="false">SUMIFS(QTO!$H$6:$H$205,QTO!$D$6:$D$205,$A10)</f>
        <v>0</v>
      </c>
      <c r="J10" s="20" t="n">
        <f aca="false">SUMIFS(QTO!$I$6:$I$205,QTO!$D$6:$D$205,$A10)</f>
        <v>0</v>
      </c>
      <c r="K10" s="20" t="n">
        <f aca="false">I10-J10</f>
        <v>0</v>
      </c>
      <c r="L10" s="21" t="str">
        <f aca="false">IF(J10=0,"",K10/J10)</f>
        <v/>
      </c>
    </row>
    <row r="11" customFormat="false" ht="15" hidden="false" customHeight="false" outlineLevel="0" collapsed="false">
      <c r="A11" s="12" t="str">
        <f aca="false">Parametros!F11</f>
        <v>Acabados - Muros</v>
      </c>
      <c r="B11" s="12" t="str">
        <f aca="false">Parametros!G11</f>
        <v>m²</v>
      </c>
      <c r="C11" s="20" t="n">
        <f aca="false">IF(C$5="","",SUMIFS(QTO!$H$6:$H$205,QTO!$D$6:$D$205,$A11,QTO!$C$6:$C$205,C$5))</f>
        <v>0</v>
      </c>
      <c r="D11" s="20" t="n">
        <f aca="false">IF(D$5="","",SUMIFS(QTO!$H$6:$H$205,QTO!$D$6:$D$205,$A11,QTO!$C$6:$C$205,D$5))</f>
        <v>0</v>
      </c>
      <c r="E11" s="20" t="n">
        <f aca="false">IF(E$5="","",SUMIFS(QTO!$H$6:$H$205,QTO!$D$6:$D$205,$A11,QTO!$C$6:$C$205,E$5))</f>
        <v>0</v>
      </c>
      <c r="F11" s="20" t="n">
        <f aca="false">IF(F$5="","",SUMIFS(QTO!$H$6:$H$205,QTO!$D$6:$D$205,$A11,QTO!$C$6:$C$205,F$5))</f>
        <v>0</v>
      </c>
      <c r="G11" s="20" t="str">
        <f aca="false">IF(G$5="","",SUMIFS(QTO!$H$6:$H$205,QTO!$D$6:$D$205,$A11,QTO!$C$6:$C$205,G$5))</f>
        <v/>
      </c>
      <c r="H11" s="20" t="str">
        <f aca="false">IF(H$5="","",SUMIFS(QTO!$H$6:$H$205,QTO!$D$6:$D$205,$A11,QTO!$C$6:$C$205,H$5))</f>
        <v/>
      </c>
      <c r="I11" s="20" t="n">
        <f aca="false">SUMIFS(QTO!$H$6:$H$205,QTO!$D$6:$D$205,$A11)</f>
        <v>0</v>
      </c>
      <c r="J11" s="20" t="n">
        <f aca="false">SUMIFS(QTO!$I$6:$I$205,QTO!$D$6:$D$205,$A11)</f>
        <v>0</v>
      </c>
      <c r="K11" s="20" t="n">
        <f aca="false">I11-J11</f>
        <v>0</v>
      </c>
      <c r="L11" s="21" t="str">
        <f aca="false">IF(J11=0,"",K11/J11)</f>
        <v/>
      </c>
    </row>
    <row r="12" customFormat="false" ht="15" hidden="false" customHeight="false" outlineLevel="0" collapsed="false">
      <c r="A12" s="12" t="str">
        <f aca="false">Parametros!F12</f>
        <v>Acabados - Cielos rasos</v>
      </c>
      <c r="B12" s="12" t="str">
        <f aca="false">Parametros!G12</f>
        <v>m²</v>
      </c>
      <c r="C12" s="20" t="n">
        <f aca="false">IF(C$5="","",SUMIFS(QTO!$H$6:$H$205,QTO!$D$6:$D$205,$A12,QTO!$C$6:$C$205,C$5))</f>
        <v>0</v>
      </c>
      <c r="D12" s="20" t="n">
        <f aca="false">IF(D$5="","",SUMIFS(QTO!$H$6:$H$205,QTO!$D$6:$D$205,$A12,QTO!$C$6:$C$205,D$5))</f>
        <v>0</v>
      </c>
      <c r="E12" s="20" t="n">
        <f aca="false">IF(E$5="","",SUMIFS(QTO!$H$6:$H$205,QTO!$D$6:$D$205,$A12,QTO!$C$6:$C$205,E$5))</f>
        <v>0</v>
      </c>
      <c r="F12" s="20" t="n">
        <f aca="false">IF(F$5="","",SUMIFS(QTO!$H$6:$H$205,QTO!$D$6:$D$205,$A12,QTO!$C$6:$C$205,F$5))</f>
        <v>0</v>
      </c>
      <c r="G12" s="20" t="str">
        <f aca="false">IF(G$5="","",SUMIFS(QTO!$H$6:$H$205,QTO!$D$6:$D$205,$A12,QTO!$C$6:$C$205,G$5))</f>
        <v/>
      </c>
      <c r="H12" s="20" t="str">
        <f aca="false">IF(H$5="","",SUMIFS(QTO!$H$6:$H$205,QTO!$D$6:$D$205,$A12,QTO!$C$6:$C$205,H$5))</f>
        <v/>
      </c>
      <c r="I12" s="20" t="n">
        <f aca="false">SUMIFS(QTO!$H$6:$H$205,QTO!$D$6:$D$205,$A12)</f>
        <v>0</v>
      </c>
      <c r="J12" s="20" t="n">
        <f aca="false">SUMIFS(QTO!$I$6:$I$205,QTO!$D$6:$D$205,$A12)</f>
        <v>0</v>
      </c>
      <c r="K12" s="20" t="n">
        <f aca="false">I12-J12</f>
        <v>0</v>
      </c>
      <c r="L12" s="21" t="str">
        <f aca="false">IF(J12=0,"",K12/J12)</f>
        <v/>
      </c>
    </row>
    <row r="13" customFormat="false" ht="15" hidden="false" customHeight="false" outlineLevel="0" collapsed="false">
      <c r="A13" s="12" t="str">
        <f aca="false">Parametros!F13</f>
        <v>Otro</v>
      </c>
      <c r="B13" s="12" t="str">
        <f aca="false">Parametros!G13</f>
        <v>und</v>
      </c>
      <c r="C13" s="20" t="n">
        <f aca="false">IF(C$5="","",SUMIFS(QTO!$H$6:$H$205,QTO!$D$6:$D$205,$A13,QTO!$C$6:$C$205,C$5))</f>
        <v>0</v>
      </c>
      <c r="D13" s="20" t="n">
        <f aca="false">IF(D$5="","",SUMIFS(QTO!$H$6:$H$205,QTO!$D$6:$D$205,$A13,QTO!$C$6:$C$205,D$5))</f>
        <v>0</v>
      </c>
      <c r="E13" s="20" t="n">
        <f aca="false">IF(E$5="","",SUMIFS(QTO!$H$6:$H$205,QTO!$D$6:$D$205,$A13,QTO!$C$6:$C$205,E$5))</f>
        <v>0</v>
      </c>
      <c r="F13" s="20" t="n">
        <f aca="false">IF(F$5="","",SUMIFS(QTO!$H$6:$H$205,QTO!$D$6:$D$205,$A13,QTO!$C$6:$C$205,F$5))</f>
        <v>0</v>
      </c>
      <c r="G13" s="20" t="str">
        <f aca="false">IF(G$5="","",SUMIFS(QTO!$H$6:$H$205,QTO!$D$6:$D$205,$A13,QTO!$C$6:$C$205,G$5))</f>
        <v/>
      </c>
      <c r="H13" s="20" t="str">
        <f aca="false">IF(H$5="","",SUMIFS(QTO!$H$6:$H$205,QTO!$D$6:$D$205,$A13,QTO!$C$6:$C$205,H$5))</f>
        <v/>
      </c>
      <c r="I13" s="20" t="n">
        <f aca="false">SUMIFS(QTO!$H$6:$H$205,QTO!$D$6:$D$205,$A13)</f>
        <v>0</v>
      </c>
      <c r="J13" s="20" t="n">
        <f aca="false">SUMIFS(QTO!$I$6:$I$205,QTO!$D$6:$D$205,$A13)</f>
        <v>0</v>
      </c>
      <c r="K13" s="20" t="n">
        <f aca="false">I13-J13</f>
        <v>0</v>
      </c>
      <c r="L13" s="21" t="str">
        <f aca="false">IF(J13=0,"",K13/J13)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2026-10-20T00:35:47Z</dcterms:created>
  <dc:creator>openpyxl</dc:creator>
  <dc:description/>
  <dc:language>en-US</dc:language>
  <cp:lastModifiedBy/>
  <dcterms:modified xsi:type="dcterms:W3CDTF">2026-10-20T00:35:47Z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