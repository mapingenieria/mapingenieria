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rametros" sheetId="2" state="visible" r:id="rId4"/>
    <sheet name="Curva_S" sheetId="3" state="visible" r:id="rId5"/>
    <sheet name="EVM_Resumen" sheetId="4" state="visible" r:id="rId6"/>
    <sheet name="WhatI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<sst xmlns="http://schemas.openxmlformats.org/spreadsheetml/2006/main" count="84" uniqueCount="83">
  <si>
    <t xml:space="preserve">Curva S y Análisis EVM - Plantilla</t>
  </si>
  <si>
    <t xml:space="preserve">Objetivo: construir la Curva S (costo planificado acumulado) y el análisis de valor ganado (EVM) con desviaciones y escenarios What-If (RA4).</t>
  </si>
  <si>
    <t xml:space="preserve">Cómo usarla</t>
  </si>
  <si>
    <t xml:space="preserve">1. 'Parametros': BAC (total del presupuesto), fecha de inicio, plazo en meses y período de corte (el mes hasta el cual hay avance real).</t>
  </si>
  <si>
    <t xml:space="preserve">2. 'Curva_S': en la columna C escriba el costo planificado por mes (de Microsoft Project: Uso de tareas / Resumen de flujo de caja). Hasta 12 períodos.</t>
  </si>
  <si>
    <t xml:space="preserve">3. Cada mes registre el costo real (AC) y el % de avance físico acumulado; copie hacia abajo las fórmulas de las columnas G, I, J, K, L, M de la fila anterior.</t>
  </si>
  <si>
    <t xml:space="preserve">4. 'EVM_Resumen' calcula SV, CV, SPI, CPI, EAC, ETC, VAC y TCPI al período de corte.</t>
  </si>
  <si>
    <t xml:space="preserve">5. 'WhatIf' compara escenarios de rendimiento de costo y de cronograma (editables).</t>
  </si>
  <si>
    <t xml:space="preserve">Las fórmulas siguen la guía PMBOK: EV = BAC x % avance; CPI = EV/AC; SPI = EV/PV; EAC (tendencia) = AC + (BAC - EV)/CPI.</t>
  </si>
  <si>
    <t xml:space="preserve">AVISO: los valores del ejemplo (BAC de 100 millones, avance de 4 meses) son ILUSTRATIVOS; reemplácelos con los de su proyecto.</t>
  </si>
  <si>
    <t xml:space="preserve">Texto azul sobre fondo amarillo = celda que usted debe llenar</t>
  </si>
  <si>
    <t xml:space="preserve">Texto negro = fórmula (no la sobrescriba)</t>
  </si>
  <si>
    <t xml:space="preserve">Fondo verde = fila de EJEMPLO con datos ilustrativos: bórrela o reemplácela con sus datos</t>
  </si>
  <si>
    <t xml:space="preserve">Parámetros</t>
  </si>
  <si>
    <t xml:space="preserve">Celdas amarillas = datos del proyecto</t>
  </si>
  <si>
    <t xml:space="preserve">Parámetro</t>
  </si>
  <si>
    <t xml:space="preserve">Valor</t>
  </si>
  <si>
    <t xml:space="preserve">Nota</t>
  </si>
  <si>
    <t xml:space="preserve">BAC - Presupuesto total del proyecto ($)</t>
  </si>
  <si>
    <t xml:space="preserve">De la hoja Resumen del presupuesto (EJEMPLO ilustrativo)</t>
  </si>
  <si>
    <t xml:space="preserve">Fecha de inicio de obra</t>
  </si>
  <si>
    <t xml:space="preserve">Debe coincidir con el cronograma en Project</t>
  </si>
  <si>
    <t xml:space="preserve">Plazo total (meses)</t>
  </si>
  <si>
    <t xml:space="preserve">Máximo 12 en esta plantilla</t>
  </si>
  <si>
    <t xml:space="preserve">Período de corte (mes N con avance real)</t>
  </si>
  <si>
    <t xml:space="preserve">Último mes con costo real y avance registrados</t>
  </si>
  <si>
    <t xml:space="preserve">Curva S - Costo planificado, ganado y real</t>
  </si>
  <si>
    <t xml:space="preserve">PV: de Project · AC y % avance: seguimiento mensual</t>
  </si>
  <si>
    <t xml:space="preserve">Período</t>
  </si>
  <si>
    <t xml:space="preserve">Mes</t>
  </si>
  <si>
    <t xml:space="preserve">PV período ($)</t>
  </si>
  <si>
    <t xml:space="preserve">PV acumulado ($)</t>
  </si>
  <si>
    <t xml:space="preserve">% PV acum.</t>
  </si>
  <si>
    <t xml:space="preserve">AC período ($)</t>
  </si>
  <si>
    <t xml:space="preserve">AC acumulado ($)</t>
  </si>
  <si>
    <t xml:space="preserve">% avance físico acum.</t>
  </si>
  <si>
    <t xml:space="preserve">EV acumulado ($)</t>
  </si>
  <si>
    <t xml:space="preserve">CPI</t>
  </si>
  <si>
    <t xml:space="preserve">SPI</t>
  </si>
  <si>
    <t xml:space="preserve">CV ($)</t>
  </si>
  <si>
    <t xml:space="preserve">SV ($)</t>
  </si>
  <si>
    <t xml:space="preserve">Filas 5-12 de las columnas G, I, J, K, L, M se dejan vacías a propósito (el gráfico no dibuja períodos sin ejecutar). Copie las fórmulas de la fila anterior al registrar cada mes.</t>
  </si>
  <si>
    <t xml:space="preserve">Control: suma PV período vs BAC</t>
  </si>
  <si>
    <t xml:space="preserve">Indicadores EVM al período de corte</t>
  </si>
  <si>
    <t xml:space="preserve">Todo se calcula desde 'Curva_S' y 'Parametros'</t>
  </si>
  <si>
    <t xml:space="preserve">Indicador</t>
  </si>
  <si>
    <t xml:space="preserve">Interpretación</t>
  </si>
  <si>
    <t xml:space="preserve">BAC - Presupuesto total</t>
  </si>
  <si>
    <t xml:space="preserve">PV - Valor planificado</t>
  </si>
  <si>
    <t xml:space="preserve">EV - Valor ganado</t>
  </si>
  <si>
    <t xml:space="preserve">AC - Costo real</t>
  </si>
  <si>
    <t xml:space="preserve">CV = EV - AC</t>
  </si>
  <si>
    <t xml:space="preserve">SV = EV - PV</t>
  </si>
  <si>
    <t xml:space="preserve">CPI = EV / AC</t>
  </si>
  <si>
    <t xml:space="preserve">SPI = EV / PV</t>
  </si>
  <si>
    <t xml:space="preserve">EAC (tendencia) = AC + (BAC - EV)/CPI</t>
  </si>
  <si>
    <t xml:space="preserve">Costo final proyectado si se mantiene el CPI actual</t>
  </si>
  <si>
    <t xml:space="preserve">ETC = EAC - AC</t>
  </si>
  <si>
    <t xml:space="preserve">Costo que falta por gastar</t>
  </si>
  <si>
    <t xml:space="preserve">VAC = BAC - EAC</t>
  </si>
  <si>
    <t xml:space="preserve">TCPI = (BAC - EV)/(BAC - AC)</t>
  </si>
  <si>
    <t xml:space="preserve">Eficiencia requerida de aquí en adelante para cerrar en el BAC</t>
  </si>
  <si>
    <t xml:space="preserve">Plazo proyectado (meses) = plazo / SPI</t>
  </si>
  <si>
    <t xml:space="preserve">Estimación simple por SPI actual</t>
  </si>
  <si>
    <t xml:space="preserve">% avance real vs % planificado</t>
  </si>
  <si>
    <t xml:space="preserve">Escenarios What-If</t>
  </si>
  <si>
    <t xml:space="preserve">Edite los factores amarillos (supuestos del usuario)</t>
  </si>
  <si>
    <t xml:space="preserve">Escenario</t>
  </si>
  <si>
    <t xml:space="preserve">CPI futuro supuesto</t>
  </si>
  <si>
    <t xml:space="preserve">SPI futuro supuesto</t>
  </si>
  <si>
    <t xml:space="preserve">EAC ($)</t>
  </si>
  <si>
    <t xml:space="preserve">VAC = BAC - EAC ($)</t>
  </si>
  <si>
    <t xml:space="preserve">Plazo proyectado (meses)</t>
  </si>
  <si>
    <t xml:space="preserve">Comentario</t>
  </si>
  <si>
    <t xml:space="preserve">Tendencia actual</t>
  </si>
  <si>
    <t xml:space="preserve">Se mantiene el desempeño observado</t>
  </si>
  <si>
    <t xml:space="preserve">Optimista (se recupera)</t>
  </si>
  <si>
    <t xml:space="preserve">Supuesto: se recupera el costo y el cronograma</t>
  </si>
  <si>
    <t xml:space="preserve">Pesimista</t>
  </si>
  <si>
    <t xml:space="preserve">Supuesto de ejemplo - ajustar</t>
  </si>
  <si>
    <t xml:space="preserve">Personalizado</t>
  </si>
  <si>
    <t xml:space="preserve">Defina su propio escenario</t>
  </si>
  <si>
    <t xml:space="preserve">Fila 'Tendencia actual' usa los indicadores reales (negro); las demás filas son supuestos editables (azul).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</si>
</sst>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yyyy\-mm\-dd"/>
    <numFmt numFmtId="167" formatCode="0"/>
    <numFmt numFmtId="168" formatCode="mmm\-yy"/>
    <numFmt numFmtId="169" formatCode="0.0%"/>
    <numFmt numFmtId="170" formatCode="0.00"/>
    <numFmt numFmtId="171" formatCode="#,##0"/>
    <numFmt numFmtId="172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Curva_S!D6</c:f>
              <c:strCache>
                <c:ptCount val="1"/>
                <c:pt idx="0">
                  <c:v>PV acumulado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Curva_S!$B$7:$B$18</c:f>
              <c:strCache>
                <c:ptCount val="12"/>
                <c:pt idx="0">
                  <c:v>Nov-26</c:v>
                </c:pt>
                <c:pt idx="1">
                  <c:v>Dec-26</c:v>
                </c:pt>
                <c:pt idx="2">
                  <c:v>Jan-27</c:v>
                </c:pt>
                <c:pt idx="3">
                  <c:v>Feb-27</c:v>
                </c:pt>
                <c:pt idx="4">
                  <c:v>Mar-27</c:v>
                </c:pt>
                <c:pt idx="5">
                  <c:v>Apr-27</c:v>
                </c:pt>
                <c:pt idx="6">
                  <c:v>May-27</c:v>
                </c:pt>
                <c:pt idx="7">
                  <c:v>Jun-27</c:v>
                </c:pt>
                <c:pt idx="8">
                  <c:v>Jul-27</c:v>
                </c:pt>
                <c:pt idx="9">
                  <c:v>Aug-27</c:v>
                </c:pt>
                <c:pt idx="10">
                  <c:v>Sep-27</c:v>
                </c:pt>
                <c:pt idx="11">
                  <c:v>Oct-27</c:v>
                </c:pt>
              </c:strCache>
            </c:strRef>
          </c:cat>
          <c:val>
            <c:numRef>
              <c:f>Curva_S!$D$7:$D$18</c:f>
              <c:numCache>
                <c:formatCode>\$#,##0;"($"#,##0\);\-</c:formatCode>
                <c:ptCount val="12"/>
                <c:pt idx="0">
                  <c:v>3000000</c:v>
                </c:pt>
                <c:pt idx="1">
                  <c:v>8000000</c:v>
                </c:pt>
                <c:pt idx="2">
                  <c:v>16000000</c:v>
                </c:pt>
                <c:pt idx="3">
                  <c:v>26000000</c:v>
                </c:pt>
                <c:pt idx="4">
                  <c:v>38000000</c:v>
                </c:pt>
                <c:pt idx="5">
                  <c:v>52000000</c:v>
                </c:pt>
                <c:pt idx="6">
                  <c:v>66000000</c:v>
                </c:pt>
                <c:pt idx="7">
                  <c:v>78000000</c:v>
                </c:pt>
                <c:pt idx="8">
                  <c:v>87000000</c:v>
                </c:pt>
                <c:pt idx="9">
                  <c:v>94000000</c:v>
                </c:pt>
                <c:pt idx="10">
                  <c:v>98000000</c:v>
                </c:pt>
                <c:pt idx="11">
                  <c:v>100000000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Curva_S!I6</c:f>
              <c:strCache>
                <c:ptCount val="1"/>
                <c:pt idx="0">
                  <c:v>EV acumulado ($)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Curva_S!$B$7:$B$18</c:f>
              <c:strCache>
                <c:ptCount val="12"/>
                <c:pt idx="0">
                  <c:v>Nov-26</c:v>
                </c:pt>
                <c:pt idx="1">
                  <c:v>Dec-26</c:v>
                </c:pt>
                <c:pt idx="2">
                  <c:v>Jan-27</c:v>
                </c:pt>
                <c:pt idx="3">
                  <c:v>Feb-27</c:v>
                </c:pt>
                <c:pt idx="4">
                  <c:v>Mar-27</c:v>
                </c:pt>
                <c:pt idx="5">
                  <c:v>Apr-27</c:v>
                </c:pt>
                <c:pt idx="6">
                  <c:v>May-27</c:v>
                </c:pt>
                <c:pt idx="7">
                  <c:v>Jun-27</c:v>
                </c:pt>
                <c:pt idx="8">
                  <c:v>Jul-27</c:v>
                </c:pt>
                <c:pt idx="9">
                  <c:v>Aug-27</c:v>
                </c:pt>
                <c:pt idx="10">
                  <c:v>Sep-27</c:v>
                </c:pt>
                <c:pt idx="11">
                  <c:v>Oct-27</c:v>
                </c:pt>
              </c:strCache>
            </c:strRef>
          </c:cat>
          <c:val>
            <c:numRef>
              <c:f>Curva_S!$I$7:$I$18</c:f>
              <c:numCache>
                <c:formatCode>\$#,##0;"($"#,##0\);\-</c:formatCode>
                <c:ptCount val="12"/>
                <c:pt idx="0">
                  <c:v>3000000</c:v>
                </c:pt>
                <c:pt idx="1">
                  <c:v>7500000</c:v>
                </c:pt>
                <c:pt idx="2">
                  <c:v>15000000</c:v>
                </c:pt>
                <c:pt idx="3">
                  <c:v>24000000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Curva_S!G6</c:f>
              <c:strCache>
                <c:ptCount val="1"/>
                <c:pt idx="0">
                  <c:v>AC acumulado ($)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Curva_S!$B$7:$B$18</c:f>
              <c:strCache>
                <c:ptCount val="12"/>
                <c:pt idx="0">
                  <c:v>Nov-26</c:v>
                </c:pt>
                <c:pt idx="1">
                  <c:v>Dec-26</c:v>
                </c:pt>
                <c:pt idx="2">
                  <c:v>Jan-27</c:v>
                </c:pt>
                <c:pt idx="3">
                  <c:v>Feb-27</c:v>
                </c:pt>
                <c:pt idx="4">
                  <c:v>Mar-27</c:v>
                </c:pt>
                <c:pt idx="5">
                  <c:v>Apr-27</c:v>
                </c:pt>
                <c:pt idx="6">
                  <c:v>May-27</c:v>
                </c:pt>
                <c:pt idx="7">
                  <c:v>Jun-27</c:v>
                </c:pt>
                <c:pt idx="8">
                  <c:v>Jul-27</c:v>
                </c:pt>
                <c:pt idx="9">
                  <c:v>Aug-27</c:v>
                </c:pt>
                <c:pt idx="10">
                  <c:v>Sep-27</c:v>
                </c:pt>
                <c:pt idx="11">
                  <c:v>Oct-27</c:v>
                </c:pt>
              </c:strCache>
            </c:strRef>
          </c:cat>
          <c:val>
            <c:numRef>
              <c:f>Curva_S!$G$7:$G$18</c:f>
              <c:numCache>
                <c:formatCode>\$#,##0;"($"#,##0\);\-</c:formatCode>
                <c:ptCount val="12"/>
                <c:pt idx="0">
                  <c:v>3200000</c:v>
                </c:pt>
                <c:pt idx="1">
                  <c:v>8800000</c:v>
                </c:pt>
                <c:pt idx="2">
                  <c:v>17700000</c:v>
                </c:pt>
                <c:pt idx="3">
                  <c:v>28500000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886461"/>
        <c:axId val="52469199"/>
      </c:lineChart>
      <c:catAx>
        <c:axId val="43886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69199"/>
        <c:crosses val="autoZero"/>
        <c:auto val="1"/>
        <c:lblAlgn val="ctr"/>
        <c:lblOffset val="100"/>
        <c:noMultiLvlLbl val="0"/>
      </c:catAx>
      <c:valAx>
        <c:axId val="52469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Costo acumulado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86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160560</xdr:rowOff>
    </xdr:from>
    <xdr:to>
      <xdr:col>25</xdr:col>
      <xdr:colOff>473400</xdr:colOff>
      <xdr:row>21</xdr:row>
      <xdr:rowOff>132480</xdr:rowOff>
    </xdr:to>
    <xdr:graphicFrame>
      <xdr:nvGraphicFramePr>
        <xdr:cNvPr id="0" name="Chart 1"/>
        <xdr:cNvGraphicFramePr/>
      </xdr:nvGraphicFramePr>
      <xdr:xfrm>
        <a:off x="12805560" y="95256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23.85" hidden="false" customHeight="false" outlineLevel="0" collapsed="false">
      <c r="A7" s="2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3" t="s">
        <v>9</v>
      </c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5" t="s">
        <v>11</v>
      </c>
    </row>
    <row r="17" customFormat="false" ht="15" hidden="false" customHeight="false" outlineLevel="0" collapsed="false">
      <c r="A17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7" t="s">
        <v>14</v>
      </c>
    </row>
    <row r="3" customFormat="false" ht="31.5" hidden="false" customHeight="true" outlineLevel="0" collapsed="false">
      <c r="A3" s="8" t="s">
        <v>15</v>
      </c>
      <c r="B3" s="8" t="s">
        <v>16</v>
      </c>
      <c r="C3" s="8" t="s">
        <v>17</v>
      </c>
    </row>
    <row r="4" customFormat="false" ht="15" hidden="false" customHeight="false" outlineLevel="0" collapsed="false">
      <c r="A4" s="9" t="s">
        <v>18</v>
      </c>
      <c r="B4" s="10" t="n">
        <v>100000000</v>
      </c>
      <c r="C4" s="11" t="s">
        <v>19</v>
      </c>
    </row>
    <row r="5" customFormat="false" ht="15" hidden="false" customHeight="false" outlineLevel="0" collapsed="false">
      <c r="A5" s="9" t="s">
        <v>20</v>
      </c>
      <c r="B5" s="12" t="n">
        <v>46328</v>
      </c>
      <c r="C5" s="11" t="s">
        <v>21</v>
      </c>
    </row>
    <row r="6" customFormat="false" ht="15" hidden="false" customHeight="false" outlineLevel="0" collapsed="false">
      <c r="A6" s="9" t="s">
        <v>22</v>
      </c>
      <c r="B6" s="13" t="n">
        <v>12</v>
      </c>
      <c r="C6" s="11" t="s">
        <v>23</v>
      </c>
    </row>
    <row r="7" customFormat="false" ht="15" hidden="false" customHeight="false" outlineLevel="0" collapsed="false">
      <c r="A7" s="9" t="s">
        <v>24</v>
      </c>
      <c r="B7" s="13" t="n">
        <v>4</v>
      </c>
      <c r="C7" s="11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1" min="10" style="0" width="8"/>
    <col collapsed="false" customWidth="true" hidden="false" outlineLevel="0" max="13" min="12" style="0" width="15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7" t="s">
        <v>27</v>
      </c>
    </row>
    <row r="6" customFormat="false" ht="31.5" hidden="false" customHeight="true" outlineLevel="0" collapsed="false">
      <c r="A6" s="8" t="s">
        <v>28</v>
      </c>
      <c r="B6" s="8" t="s">
        <v>29</v>
      </c>
      <c r="C6" s="8" t="s">
        <v>30</v>
      </c>
      <c r="D6" s="8" t="s">
        <v>31</v>
      </c>
      <c r="E6" s="8" t="s">
        <v>32</v>
      </c>
      <c r="F6" s="8" t="s">
        <v>33</v>
      </c>
      <c r="G6" s="8" t="s">
        <v>34</v>
      </c>
      <c r="H6" s="8" t="s">
        <v>35</v>
      </c>
      <c r="I6" s="8" t="s">
        <v>36</v>
      </c>
      <c r="J6" s="8" t="s">
        <v>37</v>
      </c>
      <c r="K6" s="8" t="s">
        <v>38</v>
      </c>
      <c r="L6" s="8" t="s">
        <v>39</v>
      </c>
      <c r="M6" s="8" t="s">
        <v>40</v>
      </c>
    </row>
    <row r="7" customFormat="false" ht="15" hidden="false" customHeight="false" outlineLevel="0" collapsed="false">
      <c r="A7" s="9" t="n">
        <v>1</v>
      </c>
      <c r="B7" s="14" t="n">
        <f aca="false">EDATE(Parametros!$B$5,A7-1)</f>
        <v>46328</v>
      </c>
      <c r="C7" s="15" t="n">
        <v>3000000</v>
      </c>
      <c r="D7" s="16" t="n">
        <f aca="false">SUM($C$7:C7)</f>
        <v>3000000</v>
      </c>
      <c r="E7" s="17" t="n">
        <f aca="false">IF(Parametros!$B$4=0,"",D7/Parametros!$B$4)</f>
        <v>0.03</v>
      </c>
      <c r="F7" s="15" t="n">
        <v>3200000</v>
      </c>
      <c r="G7" s="16" t="n">
        <f aca="false">SUM($F$7:F7)</f>
        <v>3200000</v>
      </c>
      <c r="H7" s="18" t="n">
        <v>0.03</v>
      </c>
      <c r="I7" s="16" t="n">
        <f aca="false">Parametros!$B$4*H7</f>
        <v>3000000</v>
      </c>
      <c r="J7" s="19" t="n">
        <f aca="false">IF(G7=0,"",I7/G7)</f>
        <v>0.9375</v>
      </c>
      <c r="K7" s="19" t="n">
        <f aca="false">IF(D7=0,"",I7/D7)</f>
        <v>1</v>
      </c>
      <c r="L7" s="16" t="n">
        <f aca="false">I7-G7</f>
        <v>-200000</v>
      </c>
      <c r="M7" s="16" t="n">
        <f aca="false">I7-D7</f>
        <v>0</v>
      </c>
    </row>
    <row r="8" customFormat="false" ht="15" hidden="false" customHeight="false" outlineLevel="0" collapsed="false">
      <c r="A8" s="9" t="n">
        <v>2</v>
      </c>
      <c r="B8" s="14" t="n">
        <f aca="false">EDATE(Parametros!$B$5,A8-1)</f>
        <v>46358</v>
      </c>
      <c r="C8" s="15" t="n">
        <v>5000000</v>
      </c>
      <c r="D8" s="16" t="n">
        <f aca="false">SUM($C$7:C8)</f>
        <v>8000000</v>
      </c>
      <c r="E8" s="17" t="n">
        <f aca="false">IF(Parametros!$B$4=0,"",D8/Parametros!$B$4)</f>
        <v>0.08</v>
      </c>
      <c r="F8" s="15" t="n">
        <v>5600000</v>
      </c>
      <c r="G8" s="16" t="n">
        <f aca="false">SUM($F$7:F8)</f>
        <v>8800000</v>
      </c>
      <c r="H8" s="18" t="n">
        <v>0.075</v>
      </c>
      <c r="I8" s="16" t="n">
        <f aca="false">Parametros!$B$4*H8</f>
        <v>7500000</v>
      </c>
      <c r="J8" s="19" t="n">
        <f aca="false">IF(G8=0,"",I8/G8)</f>
        <v>0.852272727272727</v>
      </c>
      <c r="K8" s="19" t="n">
        <f aca="false">IF(D8=0,"",I8/D8)</f>
        <v>0.9375</v>
      </c>
      <c r="L8" s="16" t="n">
        <f aca="false">I8-G8</f>
        <v>-1300000</v>
      </c>
      <c r="M8" s="16" t="n">
        <f aca="false">I8-D8</f>
        <v>-500000</v>
      </c>
    </row>
    <row r="9" customFormat="false" ht="15" hidden="false" customHeight="false" outlineLevel="0" collapsed="false">
      <c r="A9" s="9" t="n">
        <v>3</v>
      </c>
      <c r="B9" s="14" t="n">
        <f aca="false">EDATE(Parametros!$B$5,A9-1)</f>
        <v>46389</v>
      </c>
      <c r="C9" s="15" t="n">
        <v>8000000</v>
      </c>
      <c r="D9" s="16" t="n">
        <f aca="false">SUM($C$7:C9)</f>
        <v>16000000</v>
      </c>
      <c r="E9" s="17" t="n">
        <f aca="false">IF(Parametros!$B$4=0,"",D9/Parametros!$B$4)</f>
        <v>0.16</v>
      </c>
      <c r="F9" s="15" t="n">
        <v>8900000</v>
      </c>
      <c r="G9" s="16" t="n">
        <f aca="false">SUM($F$7:F9)</f>
        <v>17700000</v>
      </c>
      <c r="H9" s="18" t="n">
        <v>0.15</v>
      </c>
      <c r="I9" s="16" t="n">
        <f aca="false">Parametros!$B$4*H9</f>
        <v>15000000</v>
      </c>
      <c r="J9" s="19" t="n">
        <f aca="false">IF(G9=0,"",I9/G9)</f>
        <v>0.847457627118644</v>
      </c>
      <c r="K9" s="19" t="n">
        <f aca="false">IF(D9=0,"",I9/D9)</f>
        <v>0.9375</v>
      </c>
      <c r="L9" s="16" t="n">
        <f aca="false">I9-G9</f>
        <v>-2700000</v>
      </c>
      <c r="M9" s="16" t="n">
        <f aca="false">I9-D9</f>
        <v>-1000000</v>
      </c>
    </row>
    <row r="10" customFormat="false" ht="15" hidden="false" customHeight="false" outlineLevel="0" collapsed="false">
      <c r="A10" s="9" t="n">
        <v>4</v>
      </c>
      <c r="B10" s="14" t="n">
        <f aca="false">EDATE(Parametros!$B$5,A10-1)</f>
        <v>46420</v>
      </c>
      <c r="C10" s="15" t="n">
        <v>10000000</v>
      </c>
      <c r="D10" s="16" t="n">
        <f aca="false">SUM($C$7:C10)</f>
        <v>26000000</v>
      </c>
      <c r="E10" s="17" t="n">
        <f aca="false">IF(Parametros!$B$4=0,"",D10/Parametros!$B$4)</f>
        <v>0.26</v>
      </c>
      <c r="F10" s="15" t="n">
        <v>10800000</v>
      </c>
      <c r="G10" s="16" t="n">
        <f aca="false">SUM($F$7:F10)</f>
        <v>28500000</v>
      </c>
      <c r="H10" s="18" t="n">
        <v>0.24</v>
      </c>
      <c r="I10" s="16" t="n">
        <f aca="false">Parametros!$B$4*H10</f>
        <v>24000000</v>
      </c>
      <c r="J10" s="19" t="n">
        <f aca="false">IF(G10=0,"",I10/G10)</f>
        <v>0.842105263157895</v>
      </c>
      <c r="K10" s="19" t="n">
        <f aca="false">IF(D10=0,"",I10/D10)</f>
        <v>0.923076923076923</v>
      </c>
      <c r="L10" s="16" t="n">
        <f aca="false">I10-G10</f>
        <v>-4500000</v>
      </c>
      <c r="M10" s="16" t="n">
        <f aca="false">I10-D10</f>
        <v>-2000000</v>
      </c>
    </row>
    <row r="11" customFormat="false" ht="15" hidden="false" customHeight="false" outlineLevel="0" collapsed="false">
      <c r="A11" s="9" t="n">
        <v>5</v>
      </c>
      <c r="B11" s="14" t="n">
        <f aca="false">EDATE(Parametros!$B$5,A11-1)</f>
        <v>46448</v>
      </c>
      <c r="C11" s="15" t="n">
        <v>12000000</v>
      </c>
      <c r="D11" s="16" t="n">
        <f aca="false">SUM($C$7:C11)</f>
        <v>38000000</v>
      </c>
      <c r="E11" s="17" t="n">
        <f aca="false">IF(Parametros!$B$4=0,"",D11/Parametros!$B$4)</f>
        <v>0.38</v>
      </c>
      <c r="F11" s="10"/>
      <c r="G11" s="16"/>
      <c r="H11" s="20"/>
      <c r="I11" s="16"/>
      <c r="J11" s="19"/>
      <c r="K11" s="19"/>
      <c r="L11" s="16"/>
      <c r="M11" s="16"/>
    </row>
    <row r="12" customFormat="false" ht="15" hidden="false" customHeight="false" outlineLevel="0" collapsed="false">
      <c r="A12" s="9" t="n">
        <v>6</v>
      </c>
      <c r="B12" s="14" t="n">
        <f aca="false">EDATE(Parametros!$B$5,A12-1)</f>
        <v>46479</v>
      </c>
      <c r="C12" s="15" t="n">
        <v>14000000</v>
      </c>
      <c r="D12" s="16" t="n">
        <f aca="false">SUM($C$7:C12)</f>
        <v>52000000</v>
      </c>
      <c r="E12" s="17" t="n">
        <f aca="false">IF(Parametros!$B$4=0,"",D12/Parametros!$B$4)</f>
        <v>0.52</v>
      </c>
      <c r="F12" s="10"/>
      <c r="G12" s="16"/>
      <c r="H12" s="20"/>
      <c r="I12" s="16"/>
      <c r="J12" s="19"/>
      <c r="K12" s="19"/>
      <c r="L12" s="16"/>
      <c r="M12" s="16"/>
    </row>
    <row r="13" customFormat="false" ht="15" hidden="false" customHeight="false" outlineLevel="0" collapsed="false">
      <c r="A13" s="9" t="n">
        <v>7</v>
      </c>
      <c r="B13" s="14" t="n">
        <f aca="false">EDATE(Parametros!$B$5,A13-1)</f>
        <v>46509</v>
      </c>
      <c r="C13" s="15" t="n">
        <v>14000000</v>
      </c>
      <c r="D13" s="16" t="n">
        <f aca="false">SUM($C$7:C13)</f>
        <v>66000000</v>
      </c>
      <c r="E13" s="17" t="n">
        <f aca="false">IF(Parametros!$B$4=0,"",D13/Parametros!$B$4)</f>
        <v>0.66</v>
      </c>
      <c r="F13" s="10"/>
      <c r="G13" s="16"/>
      <c r="H13" s="20"/>
      <c r="I13" s="16"/>
      <c r="J13" s="19"/>
      <c r="K13" s="19"/>
      <c r="L13" s="16"/>
      <c r="M13" s="16"/>
    </row>
    <row r="14" customFormat="false" ht="15" hidden="false" customHeight="false" outlineLevel="0" collapsed="false">
      <c r="A14" s="9" t="n">
        <v>8</v>
      </c>
      <c r="B14" s="14" t="n">
        <f aca="false">EDATE(Parametros!$B$5,A14-1)</f>
        <v>46540</v>
      </c>
      <c r="C14" s="15" t="n">
        <v>12000000</v>
      </c>
      <c r="D14" s="16" t="n">
        <f aca="false">SUM($C$7:C14)</f>
        <v>78000000</v>
      </c>
      <c r="E14" s="17" t="n">
        <f aca="false">IF(Parametros!$B$4=0,"",D14/Parametros!$B$4)</f>
        <v>0.78</v>
      </c>
      <c r="F14" s="10"/>
      <c r="G14" s="16"/>
      <c r="H14" s="20"/>
      <c r="I14" s="16"/>
      <c r="J14" s="19"/>
      <c r="K14" s="19"/>
      <c r="L14" s="16"/>
      <c r="M14" s="16"/>
    </row>
    <row r="15" customFormat="false" ht="15" hidden="false" customHeight="false" outlineLevel="0" collapsed="false">
      <c r="A15" s="9" t="n">
        <v>9</v>
      </c>
      <c r="B15" s="14" t="n">
        <f aca="false">EDATE(Parametros!$B$5,A15-1)</f>
        <v>46570</v>
      </c>
      <c r="C15" s="15" t="n">
        <v>9000000</v>
      </c>
      <c r="D15" s="16" t="n">
        <f aca="false">SUM($C$7:C15)</f>
        <v>87000000</v>
      </c>
      <c r="E15" s="17" t="n">
        <f aca="false">IF(Parametros!$B$4=0,"",D15/Parametros!$B$4)</f>
        <v>0.87</v>
      </c>
      <c r="F15" s="10"/>
      <c r="G15" s="16"/>
      <c r="H15" s="20"/>
      <c r="I15" s="16"/>
      <c r="J15" s="19"/>
      <c r="K15" s="19"/>
      <c r="L15" s="16"/>
      <c r="M15" s="16"/>
    </row>
    <row r="16" customFormat="false" ht="15" hidden="false" customHeight="false" outlineLevel="0" collapsed="false">
      <c r="A16" s="9" t="n">
        <v>10</v>
      </c>
      <c r="B16" s="14" t="n">
        <f aca="false">EDATE(Parametros!$B$5,A16-1)</f>
        <v>46601</v>
      </c>
      <c r="C16" s="15" t="n">
        <v>7000000</v>
      </c>
      <c r="D16" s="16" t="n">
        <f aca="false">SUM($C$7:C16)</f>
        <v>94000000</v>
      </c>
      <c r="E16" s="17" t="n">
        <f aca="false">IF(Parametros!$B$4=0,"",D16/Parametros!$B$4)</f>
        <v>0.94</v>
      </c>
      <c r="F16" s="10"/>
      <c r="G16" s="16"/>
      <c r="H16" s="20"/>
      <c r="I16" s="16"/>
      <c r="J16" s="19"/>
      <c r="K16" s="19"/>
      <c r="L16" s="16"/>
      <c r="M16" s="16"/>
    </row>
    <row r="17" customFormat="false" ht="15" hidden="false" customHeight="false" outlineLevel="0" collapsed="false">
      <c r="A17" s="9" t="n">
        <v>11</v>
      </c>
      <c r="B17" s="14" t="n">
        <f aca="false">EDATE(Parametros!$B$5,A17-1)</f>
        <v>46632</v>
      </c>
      <c r="C17" s="15" t="n">
        <v>4000000</v>
      </c>
      <c r="D17" s="16" t="n">
        <f aca="false">SUM($C$7:C17)</f>
        <v>98000000</v>
      </c>
      <c r="E17" s="17" t="n">
        <f aca="false">IF(Parametros!$B$4=0,"",D17/Parametros!$B$4)</f>
        <v>0.98</v>
      </c>
      <c r="F17" s="10"/>
      <c r="G17" s="16"/>
      <c r="H17" s="20"/>
      <c r="I17" s="16"/>
      <c r="J17" s="19"/>
      <c r="K17" s="19"/>
      <c r="L17" s="16"/>
      <c r="M17" s="16"/>
    </row>
    <row r="18" customFormat="false" ht="15" hidden="false" customHeight="false" outlineLevel="0" collapsed="false">
      <c r="A18" s="9" t="n">
        <v>12</v>
      </c>
      <c r="B18" s="14" t="n">
        <f aca="false">EDATE(Parametros!$B$5,A18-1)</f>
        <v>46662</v>
      </c>
      <c r="C18" s="15" t="n">
        <v>2000000</v>
      </c>
      <c r="D18" s="16" t="n">
        <f aca="false">SUM($C$7:C18)</f>
        <v>100000000</v>
      </c>
      <c r="E18" s="17" t="n">
        <f aca="false">IF(Parametros!$B$4=0,"",D18/Parametros!$B$4)</f>
        <v>1</v>
      </c>
      <c r="F18" s="10"/>
      <c r="G18" s="16"/>
      <c r="H18" s="20"/>
      <c r="I18" s="16"/>
      <c r="J18" s="19"/>
      <c r="K18" s="19"/>
      <c r="L18" s="16"/>
      <c r="M18" s="16"/>
    </row>
    <row r="20" customFormat="false" ht="15" hidden="false" customHeight="false" outlineLevel="0" collapsed="false">
      <c r="A20" s="7" t="s">
        <v>41</v>
      </c>
    </row>
    <row r="21" customFormat="false" ht="15" hidden="false" customHeight="false" outlineLevel="0" collapsed="false">
      <c r="A21" s="21" t="s">
        <v>42</v>
      </c>
      <c r="D21" s="21" t="str">
        <f aca="false">IF(ROUND(SUM(C7:C18)-Parametros!B4,0)=0,"OK","PV no suma el BAC")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7" t="s">
        <v>44</v>
      </c>
    </row>
    <row r="4" customFormat="false" ht="31.5" hidden="false" customHeight="true" outlineLevel="0" collapsed="false">
      <c r="A4" s="8" t="s">
        <v>45</v>
      </c>
      <c r="B4" s="8" t="s">
        <v>16</v>
      </c>
      <c r="C4" s="8" t="s">
        <v>46</v>
      </c>
    </row>
    <row r="5" customFormat="false" ht="15" hidden="false" customHeight="false" outlineLevel="0" collapsed="false">
      <c r="A5" s="22" t="s">
        <v>47</v>
      </c>
      <c r="B5" s="16" t="n">
        <f aca="false">Parametros!B4</f>
        <v>100000000</v>
      </c>
      <c r="C5" s="9"/>
    </row>
    <row r="6" customFormat="false" ht="15" hidden="false" customHeight="false" outlineLevel="0" collapsed="false">
      <c r="A6" s="22" t="s">
        <v>48</v>
      </c>
      <c r="B6" s="16" t="n">
        <f aca="false">INDEX(Curva_S!$D$7:$D$18,Parametros!$B$7)</f>
        <v>26000000</v>
      </c>
      <c r="C6" s="9"/>
    </row>
    <row r="7" customFormat="false" ht="15" hidden="false" customHeight="false" outlineLevel="0" collapsed="false">
      <c r="A7" s="22" t="s">
        <v>49</v>
      </c>
      <c r="B7" s="16" t="n">
        <f aca="false">INDEX(Curva_S!$I$7:$I$18,Parametros!$B$7)</f>
        <v>24000000</v>
      </c>
      <c r="C7" s="9"/>
    </row>
    <row r="8" customFormat="false" ht="15" hidden="false" customHeight="false" outlineLevel="0" collapsed="false">
      <c r="A8" s="22" t="s">
        <v>50</v>
      </c>
      <c r="B8" s="16" t="n">
        <f aca="false">INDEX(Curva_S!$G$7:$G$18,Parametros!$B$7)</f>
        <v>28500000</v>
      </c>
      <c r="C8" s="9"/>
    </row>
    <row r="9" customFormat="false" ht="15" hidden="false" customHeight="false" outlineLevel="0" collapsed="false">
      <c r="A9" s="22" t="s">
        <v>51</v>
      </c>
      <c r="B9" s="16" t="n">
        <f aca="false">B7-B8</f>
        <v>-4500000</v>
      </c>
      <c r="C9" s="9" t="str">
        <f aca="false">IF(B9&lt;0,"Sobrecosto","Bajo presupuesto o en presupuesto")</f>
        <v>Sobrecosto</v>
      </c>
    </row>
    <row r="10" customFormat="false" ht="15" hidden="false" customHeight="false" outlineLevel="0" collapsed="false">
      <c r="A10" s="22" t="s">
        <v>52</v>
      </c>
      <c r="B10" s="16" t="n">
        <f aca="false">B7-B6</f>
        <v>-2000000</v>
      </c>
      <c r="C10" s="9" t="str">
        <f aca="false">IF(B10&lt;0,"Atraso respecto a lo planificado","Adelantado o en cronograma")</f>
        <v>Atraso respecto a lo planificado</v>
      </c>
    </row>
    <row r="11" customFormat="false" ht="15" hidden="false" customHeight="false" outlineLevel="0" collapsed="false">
      <c r="A11" s="22" t="s">
        <v>53</v>
      </c>
      <c r="B11" s="19" t="n">
        <f aca="false">IF(B8=0,"",B7/B8)</f>
        <v>0.842105263157895</v>
      </c>
      <c r="C11" s="9" t="str">
        <f aca="false">IF(B11="","",IF(B11&lt;1,"Se gasta más de lo ganado","Eficiencia de costo aceptable"))</f>
        <v>Se gasta más de lo ganado</v>
      </c>
    </row>
    <row r="12" customFormat="false" ht="15" hidden="false" customHeight="false" outlineLevel="0" collapsed="false">
      <c r="A12" s="22" t="s">
        <v>54</v>
      </c>
      <c r="B12" s="19" t="n">
        <f aca="false">IF(B6=0,"",B7/B6)</f>
        <v>0.923076923076923</v>
      </c>
      <c r="C12" s="9" t="str">
        <f aca="false">IF(B12="","",IF(B12&lt;1,"Avance menor al planificado","Avance igual o mayor al planificado"))</f>
        <v>Avance menor al planificado</v>
      </c>
    </row>
    <row r="13" customFormat="false" ht="15" hidden="false" customHeight="false" outlineLevel="0" collapsed="false">
      <c r="A13" s="22" t="s">
        <v>55</v>
      </c>
      <c r="B13" s="16" t="n">
        <f aca="false">IF(B11="","",B8+(B5-B7)/B11)</f>
        <v>118750000</v>
      </c>
      <c r="C13" s="9" t="s">
        <v>56</v>
      </c>
    </row>
    <row r="14" customFormat="false" ht="15" hidden="false" customHeight="false" outlineLevel="0" collapsed="false">
      <c r="A14" s="22" t="s">
        <v>57</v>
      </c>
      <c r="B14" s="16" t="n">
        <f aca="false">IF(B13="","",B13-B8)</f>
        <v>90250000</v>
      </c>
      <c r="C14" s="9" t="s">
        <v>58</v>
      </c>
    </row>
    <row r="15" customFormat="false" ht="15" hidden="false" customHeight="false" outlineLevel="0" collapsed="false">
      <c r="A15" s="22" t="s">
        <v>59</v>
      </c>
      <c r="B15" s="16" t="n">
        <f aca="false">IF(B13="","",B5-B13)</f>
        <v>-18750000</v>
      </c>
      <c r="C15" s="9" t="str">
        <f aca="false">IF(B15="","",IF(B15&lt;0,"Proyección de sobrecosto","Proyección dentro de presupuesto"))</f>
        <v>Proyección de sobrecosto</v>
      </c>
    </row>
    <row r="16" customFormat="false" ht="15" hidden="false" customHeight="false" outlineLevel="0" collapsed="false">
      <c r="A16" s="22" t="s">
        <v>60</v>
      </c>
      <c r="B16" s="19" t="n">
        <f aca="false">IF(B5-B8=0,"",(B5-B7)/(B5-B8))</f>
        <v>1.06293706293706</v>
      </c>
      <c r="C16" s="9" t="s">
        <v>61</v>
      </c>
    </row>
    <row r="17" customFormat="false" ht="15" hidden="false" customHeight="false" outlineLevel="0" collapsed="false">
      <c r="A17" s="22" t="s">
        <v>62</v>
      </c>
      <c r="B17" s="23" t="n">
        <f aca="false">IF(B12="","",Parametros!B6/B12)</f>
        <v>13</v>
      </c>
      <c r="C17" s="9" t="s">
        <v>63</v>
      </c>
    </row>
    <row r="18" customFormat="false" ht="15" hidden="false" customHeight="false" outlineLevel="0" collapsed="false">
      <c r="A18" s="22" t="s">
        <v>64</v>
      </c>
      <c r="B18" s="17" t="n">
        <f aca="false">IF(B5=0,"",B7/B5)</f>
        <v>0.24</v>
      </c>
      <c r="C18" s="9" t="str">
        <f aca="false">"Planificado a la fecha: "&amp;TEXT(B6/B5,"0.0%")</f>
        <v>Planificado a la fecha: 26.0%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56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7" t="s">
        <v>66</v>
      </c>
    </row>
    <row r="4" customFormat="false" ht="31.5" hidden="false" customHeight="true" outlineLevel="0" collapsed="false">
      <c r="A4" s="8" t="s">
        <v>67</v>
      </c>
      <c r="B4" s="8" t="s">
        <v>68</v>
      </c>
      <c r="C4" s="8" t="s">
        <v>69</v>
      </c>
      <c r="D4" s="8" t="s">
        <v>70</v>
      </c>
      <c r="E4" s="8" t="s">
        <v>71</v>
      </c>
      <c r="F4" s="8" t="s">
        <v>72</v>
      </c>
      <c r="G4" s="8" t="s">
        <v>73</v>
      </c>
    </row>
    <row r="5" customFormat="false" ht="15" hidden="false" customHeight="false" outlineLevel="0" collapsed="false">
      <c r="A5" s="9" t="s">
        <v>74</v>
      </c>
      <c r="B5" s="19" t="n">
        <f aca="false">EVM_Resumen!B11</f>
        <v>0.842105263157895</v>
      </c>
      <c r="C5" s="19" t="n">
        <f aca="false">EVM_Resumen!B12</f>
        <v>0.923076923076923</v>
      </c>
      <c r="D5" s="16" t="n">
        <f aca="false">IF(OR(B5="",B5=0),"",EVM_Resumen!$B$8+(EVM_Resumen!$B$5-EVM_Resumen!$B$7)/B5)</f>
        <v>118750000</v>
      </c>
      <c r="E5" s="16" t="n">
        <f aca="false">IF(D5="","",EVM_Resumen!$B$5-D5)</f>
        <v>-18750000</v>
      </c>
      <c r="F5" s="23" t="n">
        <f aca="false">IF(OR(C5="",C5=0),"",Parametros!$B$6/C5)</f>
        <v>13</v>
      </c>
      <c r="G5" s="9" t="s">
        <v>75</v>
      </c>
    </row>
    <row r="6" customFormat="false" ht="15" hidden="false" customHeight="false" outlineLevel="0" collapsed="false">
      <c r="A6" s="9" t="s">
        <v>76</v>
      </c>
      <c r="B6" s="24" t="n">
        <v>1</v>
      </c>
      <c r="C6" s="24" t="n">
        <v>1</v>
      </c>
      <c r="D6" s="16" t="n">
        <f aca="false">IF(OR(B6="",B6=0),"",EVM_Resumen!$B$8+(EVM_Resumen!$B$5-EVM_Resumen!$B$7)/B6)</f>
        <v>104500000</v>
      </c>
      <c r="E6" s="16" t="n">
        <f aca="false">IF(D6="","",EVM_Resumen!$B$5-D6)</f>
        <v>-4500000</v>
      </c>
      <c r="F6" s="23" t="n">
        <f aca="false">IF(OR(C6="",C6=0),"",Parametros!$B$6/C6)</f>
        <v>12</v>
      </c>
      <c r="G6" s="9" t="s">
        <v>77</v>
      </c>
    </row>
    <row r="7" customFormat="false" ht="15" hidden="false" customHeight="false" outlineLevel="0" collapsed="false">
      <c r="A7" s="9" t="s">
        <v>78</v>
      </c>
      <c r="B7" s="24" t="n">
        <v>0.8</v>
      </c>
      <c r="C7" s="24" t="n">
        <v>0.85</v>
      </c>
      <c r="D7" s="16" t="n">
        <f aca="false">IF(OR(B7="",B7=0),"",EVM_Resumen!$B$8+(EVM_Resumen!$B$5-EVM_Resumen!$B$7)/B7)</f>
        <v>123500000</v>
      </c>
      <c r="E7" s="16" t="n">
        <f aca="false">IF(D7="","",EVM_Resumen!$B$5-D7)</f>
        <v>-23500000</v>
      </c>
      <c r="F7" s="23" t="n">
        <f aca="false">IF(OR(C7="",C7=0),"",Parametros!$B$6/C7)</f>
        <v>14.1176470588235</v>
      </c>
      <c r="G7" s="9" t="s">
        <v>79</v>
      </c>
    </row>
    <row r="8" customFormat="false" ht="15" hidden="false" customHeight="false" outlineLevel="0" collapsed="false">
      <c r="A8" s="9" t="s">
        <v>80</v>
      </c>
      <c r="B8" s="24" t="n">
        <v>0.9</v>
      </c>
      <c r="C8" s="24" t="n">
        <v>0.9</v>
      </c>
      <c r="D8" s="16" t="n">
        <f aca="false">IF(OR(B8="",B8=0),"",EVM_Resumen!$B$8+(EVM_Resumen!$B$5-EVM_Resumen!$B$7)/B8)</f>
        <v>112944444.444444</v>
      </c>
      <c r="E8" s="16" t="n">
        <f aca="false">IF(D8="","",EVM_Resumen!$B$5-D8)</f>
        <v>-12944444.4444444</v>
      </c>
      <c r="F8" s="23" t="n">
        <f aca="false">IF(OR(C8="",C8=0),"",Parametros!$B$6/C8)</f>
        <v>13.3333333333333</v>
      </c>
      <c r="G8" s="9" t="s">
        <v>81</v>
      </c>
    </row>
    <row r="10" customFormat="false" ht="15" hidden="false" customHeight="false" outlineLevel="0" collapsed="false">
      <c r="A10" s="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2026-10-20T00:35:48Z</dcterms:created>
  <dc:creator>openpyxl</dc:creator>
  <dc:description/>
  <dc:language>en-US</dc:language>
  <cp:lastModifiedBy/>
  <dcterms:modified xsi:type="dcterms:W3CDTF">2026-10-20T00:36:01Z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