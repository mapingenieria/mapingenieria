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rametros" sheetId="2" state="visible" r:id="rId4"/>
    <sheet name="Insumos" sheetId="3" state="visible" r:id="rId5"/>
    <sheet name="APU" sheetId="4" state="visible" r:id="rId6"/>
    <sheet name="APU_Resumen" sheetId="5" state="visible" r:id="rId7"/>
    <sheet name="Presupuesto" sheetId="6" state="visible" r:id="rId8"/>
    <sheet name="Resume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<sst xmlns="http://schemas.openxmlformats.org/spreadsheetml/2006/main" count="141" uniqueCount="105">
  <si>
    <t xml:space="preserve">Presupuesto Detallado y APU (5D) - Plantilla</t>
  </si>
  <si>
    <t xml:space="preserve">Objetivo: base de datos de Análisis de Precios Unitarios (APU) y presupuesto por capítulos y rubros, con códigos WBS y CBS (RA2).</t>
  </si>
  <si>
    <t xml:space="preserve">Flujo de trabajo</t>
  </si>
  <si>
    <t xml:space="preserve">1. 'Parametros': defina AIU e IVA. Los porcentajes que trae son supuestos de ejemplo: ajústelos y cite la fuente que use.</t>
  </si>
  <si>
    <t xml:space="preserve">2. 'Insumos': liste materiales, mano de obra, equipo y transporte con su precio unitario y fuente (CAMACOL, SICMA, INVIAS, cotización).</t>
  </si>
  <si>
    <t xml:space="preserve">3. 'APU': una fila por insumo de cada APU (Cód APU + Cód insumo + cantidad por unidad de APU). Descripción, tipo, unidad y precio se traen solos.</t>
  </si>
  <si>
    <t xml:space="preserve">4. 'APU_Resumen': escriba los códigos de APU; se calculan materiales, mano de obra, equipo, transporte y total directo.</t>
  </si>
  <si>
    <t xml:space="preserve">5. 'Presupuesto': por ítem, WBS, código OmniClass, código CBS, cantidad (copiada de la hoja Resumen del QTO) y Cód APU. Valor unitario y total se calculan.</t>
  </si>
  <si>
    <t xml:space="preserve">6. 'Resumen': costo directo por capítulo, AIU, IVA sobre utilidad y total. Ese total es el BAC para la Curva S.</t>
  </si>
  <si>
    <t xml:space="preserve">AVISO: los precios de los ejemplos (concreto, bomba, cuadrillas, ladrillo) provienen de las tarifas del archivo Casa Candelaria del usuario; son solo ilustrativos. Reemplácelos con su banco de precios.</t>
  </si>
  <si>
    <t xml:space="preserve">Texto azul sobre fondo amarillo = celda que usted debe llenar</t>
  </si>
  <si>
    <t xml:space="preserve">Texto negro = fórmula (no la sobrescriba)</t>
  </si>
  <si>
    <t xml:space="preserve">Fondo verde = fila de EJEMPLO con datos ilustrativos: bórrela o reemplácela con sus datos</t>
  </si>
  <si>
    <t xml:space="preserve">Parámetros</t>
  </si>
  <si>
    <t xml:space="preserve">Supuestos editables - documente la fuente de cada uno</t>
  </si>
  <si>
    <t xml:space="preserve">Parámetro</t>
  </si>
  <si>
    <t xml:space="preserve">Valor</t>
  </si>
  <si>
    <t xml:space="preserve">Nota / fuente</t>
  </si>
  <si>
    <t xml:space="preserve">Administración (% costo directo)</t>
  </si>
  <si>
    <t xml:space="preserve">Supuesto de ejemplo - confirmar con el docente o la fuente</t>
  </si>
  <si>
    <t xml:space="preserve">Imprevistos (% costo directo)</t>
  </si>
  <si>
    <t xml:space="preserve">Supuesto de ejemplo</t>
  </si>
  <si>
    <t xml:space="preserve">Utilidad (% costo directo)</t>
  </si>
  <si>
    <t xml:space="preserve">IVA sobre utilidad</t>
  </si>
  <si>
    <t xml:space="preserve">Tarifa general de IVA en Colombia - verificar vigencia</t>
  </si>
  <si>
    <t xml:space="preserve">Moneda</t>
  </si>
  <si>
    <t xml:space="preserve">COP</t>
  </si>
  <si>
    <t xml:space="preserve">Fecha de precios</t>
  </si>
  <si>
    <t xml:space="preserve">Fecha de la fuente de precios</t>
  </si>
  <si>
    <t xml:space="preserve">Insumos y precios unitarios</t>
  </si>
  <si>
    <t xml:space="preserve">Hasta 100 insumos</t>
  </si>
  <si>
    <t xml:space="preserve">Código</t>
  </si>
  <si>
    <t xml:space="preserve">Descripción</t>
  </si>
  <si>
    <t xml:space="preserve">Tipo</t>
  </si>
  <si>
    <t xml:space="preserve">Unidad</t>
  </si>
  <si>
    <t xml:space="preserve">Precio unitario</t>
  </si>
  <si>
    <t xml:space="preserve">Fuente</t>
  </si>
  <si>
    <t xml:space="preserve">Fecha</t>
  </si>
  <si>
    <t xml:space="preserve">I-001</t>
  </si>
  <si>
    <t xml:space="preserve">Concreto premezclado 3000 PSI</t>
  </si>
  <si>
    <t xml:space="preserve">MATERIAL</t>
  </si>
  <si>
    <t xml:space="preserve">m³</t>
  </si>
  <si>
    <t xml:space="preserve">EJEMPLO - tarifa del .mpp del usuario</t>
  </si>
  <si>
    <t xml:space="preserve">I-002</t>
  </si>
  <si>
    <t xml:space="preserve">Ladrillo pastillero</t>
  </si>
  <si>
    <t xml:space="preserve">mill</t>
  </si>
  <si>
    <t xml:space="preserve">I-003</t>
  </si>
  <si>
    <t xml:space="preserve">Cuadrilla obra civil</t>
  </si>
  <si>
    <t xml:space="preserve">MANO DE OBRA</t>
  </si>
  <si>
    <t xml:space="preserve">h</t>
  </si>
  <si>
    <t xml:space="preserve">I-004</t>
  </si>
  <si>
    <t xml:space="preserve">Ayudante general</t>
  </si>
  <si>
    <t xml:space="preserve">I-005</t>
  </si>
  <si>
    <t xml:space="preserve">Bomba estacionaria</t>
  </si>
  <si>
    <t xml:space="preserve">EQUIPO</t>
  </si>
  <si>
    <t xml:space="preserve">Análisis de Precios Unitarios (detalle por insumo)</t>
  </si>
  <si>
    <t xml:space="preserve">Una fila por insumo de cada APU. Hasta 300 filas</t>
  </si>
  <si>
    <t xml:space="preserve">Cód APU</t>
  </si>
  <si>
    <t xml:space="preserve">Descripción APU</t>
  </si>
  <si>
    <t xml:space="preserve">Unidad APU</t>
  </si>
  <si>
    <t xml:space="preserve">Cód insumo</t>
  </si>
  <si>
    <t xml:space="preserve">Descripción insumo</t>
  </si>
  <si>
    <t xml:space="preserve">Unid.</t>
  </si>
  <si>
    <t xml:space="preserve">Cantidad por unidad de APU</t>
  </si>
  <si>
    <t xml:space="preserve">Parcial</t>
  </si>
  <si>
    <t xml:space="preserve">Cantidades del ejemplo (desperdicio 5 %, rendimiento de cuadrilla) son supuestos ilustrativos.</t>
  </si>
  <si>
    <t xml:space="preserve">A-2.2</t>
  </si>
  <si>
    <t xml:space="preserve">Fundición de vigas de cimentación (concreto 3000 PSI)</t>
  </si>
  <si>
    <t xml:space="preserve">Resumen de APU</t>
  </si>
  <si>
    <t xml:space="preserve">Escriba los códigos de APU (columna A); el resto se calcula</t>
  </si>
  <si>
    <t xml:space="preserve">Materiales</t>
  </si>
  <si>
    <t xml:space="preserve">Mano de obra</t>
  </si>
  <si>
    <t xml:space="preserve">Equipo</t>
  </si>
  <si>
    <t xml:space="preserve">Transporte</t>
  </si>
  <si>
    <t xml:space="preserve">Total directo unitario</t>
  </si>
  <si>
    <t xml:space="preserve">Presupuesto detallado</t>
  </si>
  <si>
    <t xml:space="preserve">Cantidades: copiar desde QTO &gt; Resumen. Hasta 200 ítems</t>
  </si>
  <si>
    <t xml:space="preserve">Costo directo total:</t>
  </si>
  <si>
    <t xml:space="preserve">Ítem (WBS)</t>
  </si>
  <si>
    <t xml:space="preserve">Capítulo</t>
  </si>
  <si>
    <t xml:space="preserve">Código OmniClass</t>
  </si>
  <si>
    <t xml:space="preserve">Código CBS</t>
  </si>
  <si>
    <t xml:space="preserve">Cantidad</t>
  </si>
  <si>
    <t xml:space="preserve">Valor unitario</t>
  </si>
  <si>
    <t xml:space="preserve">Valor total</t>
  </si>
  <si>
    <t xml:space="preserve">% del directo</t>
  </si>
  <si>
    <t xml:space="preserve">2.2</t>
  </si>
  <si>
    <t xml:space="preserve">2 Cimentación y estructura</t>
  </si>
  <si>
    <t xml:space="preserve">21-02 10 10 20</t>
  </si>
  <si>
    <t xml:space="preserve">C-02.02</t>
  </si>
  <si>
    <t xml:space="preserve">Fundición de vigas de cimentación</t>
  </si>
  <si>
    <t xml:space="preserve">Resumen del presupuesto</t>
  </si>
  <si>
    <t xml:space="preserve">El total es el BAC (línea base de costo) para la Curva S</t>
  </si>
  <si>
    <t xml:space="preserve">Costo directo</t>
  </si>
  <si>
    <t xml:space="preserve">1 Obras preliminares</t>
  </si>
  <si>
    <t xml:space="preserve">3 Acabados</t>
  </si>
  <si>
    <t xml:space="preserve">4 Carpintería y metálica</t>
  </si>
  <si>
    <t xml:space="preserve">5 Cubierta</t>
  </si>
  <si>
    <t xml:space="preserve">6 Pintura y limpieza</t>
  </si>
  <si>
    <t xml:space="preserve">Costo directo total</t>
  </si>
  <si>
    <t xml:space="preserve">Administración</t>
  </si>
  <si>
    <t xml:space="preserve">Imprevistos</t>
  </si>
  <si>
    <t xml:space="preserve">Utilidad</t>
  </si>
  <si>
    <t xml:space="preserve">TOTAL PRESUPUESTO (BAC)</t>
  </si>
  <si>
    <t xml:space="preserve">Control: directo en Presupuesto vs suma por capítulo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</si>
</sst>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@"/>
    <numFmt numFmtId="167" formatCode="yyyy\-mm\-dd"/>
    <numFmt numFmtId="168" formatCode="\$#,##0;&quot;($&quot;#,##0\);\-"/>
    <numFmt numFmtId="169" formatCode="#,##0.000"/>
    <numFmt numFmtId="170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23.85" hidden="false" customHeight="false" outlineLevel="0" collapsed="false">
      <c r="A13" s="3" t="s">
        <v>9</v>
      </c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5" t="s">
        <v>11</v>
      </c>
    </row>
    <row r="17" customFormat="false" ht="15" hidden="false" customHeight="false" outlineLevel="0" collapsed="false">
      <c r="A17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7" t="s">
        <v>14</v>
      </c>
    </row>
    <row r="3" customFormat="false" ht="31.5" hidden="false" customHeight="true" outlineLevel="0" collapsed="false">
      <c r="A3" s="8" t="s">
        <v>15</v>
      </c>
      <c r="B3" s="8" t="s">
        <v>16</v>
      </c>
      <c r="C3" s="8" t="s">
        <v>17</v>
      </c>
    </row>
    <row r="4" customFormat="false" ht="15" hidden="false" customHeight="false" outlineLevel="0" collapsed="false">
      <c r="A4" s="9" t="s">
        <v>18</v>
      </c>
      <c r="B4" s="10" t="n">
        <v>0.15</v>
      </c>
      <c r="C4" s="11" t="s">
        <v>19</v>
      </c>
    </row>
    <row r="5" customFormat="false" ht="15" hidden="false" customHeight="false" outlineLevel="0" collapsed="false">
      <c r="A5" s="9" t="s">
        <v>20</v>
      </c>
      <c r="B5" s="10" t="n">
        <v>0.05</v>
      </c>
      <c r="C5" s="11" t="s">
        <v>21</v>
      </c>
    </row>
    <row r="6" customFormat="false" ht="15" hidden="false" customHeight="false" outlineLevel="0" collapsed="false">
      <c r="A6" s="9" t="s">
        <v>22</v>
      </c>
      <c r="B6" s="10" t="n">
        <v>0.05</v>
      </c>
      <c r="C6" s="11" t="s">
        <v>21</v>
      </c>
    </row>
    <row r="7" customFormat="false" ht="15" hidden="false" customHeight="false" outlineLevel="0" collapsed="false">
      <c r="A7" s="9" t="s">
        <v>23</v>
      </c>
      <c r="B7" s="10" t="n">
        <v>0.19</v>
      </c>
      <c r="C7" s="11" t="s">
        <v>24</v>
      </c>
    </row>
    <row r="8" customFormat="false" ht="15" hidden="false" customHeight="false" outlineLevel="0" collapsed="false">
      <c r="A8" s="9" t="s">
        <v>25</v>
      </c>
      <c r="B8" s="12" t="s">
        <v>26</v>
      </c>
      <c r="C8" s="11"/>
    </row>
    <row r="9" customFormat="false" ht="15" hidden="false" customHeight="false" outlineLevel="0" collapsed="false">
      <c r="A9" s="9" t="s">
        <v>27</v>
      </c>
      <c r="B9" s="13"/>
      <c r="C9" s="1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7" t="s">
        <v>30</v>
      </c>
    </row>
    <row r="5" customFormat="false" ht="31.5" hidden="false" customHeight="true" outlineLevel="0" collapsed="false">
      <c r="A5" s="8" t="s">
        <v>31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</row>
    <row r="6" customFormat="false" ht="15" hidden="false" customHeight="false" outlineLevel="0" collapsed="false">
      <c r="A6" s="14" t="s">
        <v>38</v>
      </c>
      <c r="B6" s="14" t="s">
        <v>39</v>
      </c>
      <c r="C6" s="14" t="s">
        <v>40</v>
      </c>
      <c r="D6" s="14" t="s">
        <v>41</v>
      </c>
      <c r="E6" s="15" t="n">
        <v>450000</v>
      </c>
      <c r="F6" s="14" t="s">
        <v>42</v>
      </c>
      <c r="G6" s="16"/>
    </row>
    <row r="7" customFormat="false" ht="15" hidden="false" customHeight="false" outlineLevel="0" collapsed="false">
      <c r="A7" s="14" t="s">
        <v>43</v>
      </c>
      <c r="B7" s="14" t="s">
        <v>44</v>
      </c>
      <c r="C7" s="14" t="s">
        <v>40</v>
      </c>
      <c r="D7" s="14" t="s">
        <v>45</v>
      </c>
      <c r="E7" s="15" t="n">
        <v>1800000</v>
      </c>
      <c r="F7" s="14" t="s">
        <v>42</v>
      </c>
      <c r="G7" s="16"/>
    </row>
    <row r="8" customFormat="false" ht="15" hidden="false" customHeight="false" outlineLevel="0" collapsed="false">
      <c r="A8" s="14" t="s">
        <v>46</v>
      </c>
      <c r="B8" s="14" t="s">
        <v>47</v>
      </c>
      <c r="C8" s="14" t="s">
        <v>48</v>
      </c>
      <c r="D8" s="14" t="s">
        <v>49</v>
      </c>
      <c r="E8" s="15" t="n">
        <v>15000</v>
      </c>
      <c r="F8" s="14" t="s">
        <v>42</v>
      </c>
      <c r="G8" s="16"/>
    </row>
    <row r="9" customFormat="false" ht="15" hidden="false" customHeight="false" outlineLevel="0" collapsed="false">
      <c r="A9" s="14" t="s">
        <v>50</v>
      </c>
      <c r="B9" s="14" t="s">
        <v>51</v>
      </c>
      <c r="C9" s="14" t="s">
        <v>48</v>
      </c>
      <c r="D9" s="14" t="s">
        <v>49</v>
      </c>
      <c r="E9" s="15" t="n">
        <v>12000</v>
      </c>
      <c r="F9" s="14" t="s">
        <v>42</v>
      </c>
      <c r="G9" s="16"/>
    </row>
    <row r="10" customFormat="false" ht="15" hidden="false" customHeight="false" outlineLevel="0" collapsed="false">
      <c r="A10" s="14" t="s">
        <v>52</v>
      </c>
      <c r="B10" s="14" t="s">
        <v>53</v>
      </c>
      <c r="C10" s="14" t="s">
        <v>54</v>
      </c>
      <c r="D10" s="14" t="s">
        <v>49</v>
      </c>
      <c r="E10" s="15" t="n">
        <v>95000</v>
      </c>
      <c r="F10" s="14" t="s">
        <v>42</v>
      </c>
      <c r="G10" s="16"/>
    </row>
    <row r="11" customFormat="false" ht="15" hidden="false" customHeight="false" outlineLevel="0" collapsed="false">
      <c r="A11" s="17"/>
      <c r="B11" s="17"/>
      <c r="C11" s="17"/>
      <c r="D11" s="17"/>
      <c r="E11" s="18"/>
      <c r="F11" s="17"/>
      <c r="G11" s="13"/>
    </row>
    <row r="12" customFormat="false" ht="15" hidden="false" customHeight="false" outlineLevel="0" collapsed="false">
      <c r="A12" s="17"/>
      <c r="B12" s="17"/>
      <c r="C12" s="17"/>
      <c r="D12" s="17"/>
      <c r="E12" s="18"/>
      <c r="F12" s="17"/>
      <c r="G12" s="13"/>
    </row>
    <row r="13" customFormat="false" ht="15" hidden="false" customHeight="false" outlineLevel="0" collapsed="false">
      <c r="A13" s="17"/>
      <c r="B13" s="17"/>
      <c r="C13" s="17"/>
      <c r="D13" s="17"/>
      <c r="E13" s="18"/>
      <c r="F13" s="17"/>
      <c r="G13" s="13"/>
    </row>
    <row r="14" customFormat="false" ht="15" hidden="false" customHeight="false" outlineLevel="0" collapsed="false">
      <c r="A14" s="17"/>
      <c r="B14" s="17"/>
      <c r="C14" s="17"/>
      <c r="D14" s="17"/>
      <c r="E14" s="18"/>
      <c r="F14" s="17"/>
      <c r="G14" s="13"/>
    </row>
    <row r="15" customFormat="false" ht="15" hidden="false" customHeight="false" outlineLevel="0" collapsed="false">
      <c r="A15" s="17"/>
      <c r="B15" s="17"/>
      <c r="C15" s="17"/>
      <c r="D15" s="17"/>
      <c r="E15" s="18"/>
      <c r="F15" s="17"/>
      <c r="G15" s="13"/>
    </row>
    <row r="16" customFormat="false" ht="15" hidden="false" customHeight="false" outlineLevel="0" collapsed="false">
      <c r="A16" s="17"/>
      <c r="B16" s="17"/>
      <c r="C16" s="17"/>
      <c r="D16" s="17"/>
      <c r="E16" s="18"/>
      <c r="F16" s="17"/>
      <c r="G16" s="13"/>
    </row>
    <row r="17" customFormat="false" ht="15" hidden="false" customHeight="false" outlineLevel="0" collapsed="false">
      <c r="A17" s="17"/>
      <c r="B17" s="17"/>
      <c r="C17" s="17"/>
      <c r="D17" s="17"/>
      <c r="E17" s="18"/>
      <c r="F17" s="17"/>
      <c r="G17" s="13"/>
    </row>
    <row r="18" customFormat="false" ht="15" hidden="false" customHeight="false" outlineLevel="0" collapsed="false">
      <c r="A18" s="17"/>
      <c r="B18" s="17"/>
      <c r="C18" s="17"/>
      <c r="D18" s="17"/>
      <c r="E18" s="18"/>
      <c r="F18" s="17"/>
      <c r="G18" s="13"/>
    </row>
    <row r="19" customFormat="false" ht="15" hidden="false" customHeight="false" outlineLevel="0" collapsed="false">
      <c r="A19" s="17"/>
      <c r="B19" s="17"/>
      <c r="C19" s="17"/>
      <c r="D19" s="17"/>
      <c r="E19" s="18"/>
      <c r="F19" s="17"/>
      <c r="G19" s="13"/>
    </row>
    <row r="20" customFormat="false" ht="15" hidden="false" customHeight="false" outlineLevel="0" collapsed="false">
      <c r="A20" s="17"/>
      <c r="B20" s="17"/>
      <c r="C20" s="17"/>
      <c r="D20" s="17"/>
      <c r="E20" s="18"/>
      <c r="F20" s="17"/>
      <c r="G20" s="13"/>
    </row>
    <row r="21" customFormat="false" ht="15" hidden="false" customHeight="false" outlineLevel="0" collapsed="false">
      <c r="A21" s="17"/>
      <c r="B21" s="17"/>
      <c r="C21" s="17"/>
      <c r="D21" s="17"/>
      <c r="E21" s="18"/>
      <c r="F21" s="17"/>
      <c r="G21" s="13"/>
    </row>
    <row r="22" customFormat="false" ht="15" hidden="false" customHeight="false" outlineLevel="0" collapsed="false">
      <c r="A22" s="17"/>
      <c r="B22" s="17"/>
      <c r="C22" s="17"/>
      <c r="D22" s="17"/>
      <c r="E22" s="18"/>
      <c r="F22" s="17"/>
      <c r="G22" s="13"/>
    </row>
    <row r="23" customFormat="false" ht="15" hidden="false" customHeight="false" outlineLevel="0" collapsed="false">
      <c r="A23" s="17"/>
      <c r="B23" s="17"/>
      <c r="C23" s="17"/>
      <c r="D23" s="17"/>
      <c r="E23" s="18"/>
      <c r="F23" s="17"/>
      <c r="G23" s="13"/>
    </row>
    <row r="24" customFormat="false" ht="15" hidden="false" customHeight="false" outlineLevel="0" collapsed="false">
      <c r="A24" s="17"/>
      <c r="B24" s="17"/>
      <c r="C24" s="17"/>
      <c r="D24" s="17"/>
      <c r="E24" s="18"/>
      <c r="F24" s="17"/>
      <c r="G24" s="13"/>
    </row>
    <row r="25" customFormat="false" ht="15" hidden="false" customHeight="false" outlineLevel="0" collapsed="false">
      <c r="A25" s="17"/>
      <c r="B25" s="17"/>
      <c r="C25" s="17"/>
      <c r="D25" s="17"/>
      <c r="E25" s="18"/>
      <c r="F25" s="17"/>
      <c r="G25" s="13"/>
    </row>
    <row r="26" customFormat="false" ht="15" hidden="false" customHeight="false" outlineLevel="0" collapsed="false">
      <c r="A26" s="17"/>
      <c r="B26" s="17"/>
      <c r="C26" s="17"/>
      <c r="D26" s="17"/>
      <c r="E26" s="18"/>
      <c r="F26" s="17"/>
      <c r="G26" s="13"/>
    </row>
    <row r="27" customFormat="false" ht="15" hidden="false" customHeight="false" outlineLevel="0" collapsed="false">
      <c r="A27" s="17"/>
      <c r="B27" s="17"/>
      <c r="C27" s="17"/>
      <c r="D27" s="17"/>
      <c r="E27" s="18"/>
      <c r="F27" s="17"/>
      <c r="G27" s="13"/>
    </row>
    <row r="28" customFormat="false" ht="15" hidden="false" customHeight="false" outlineLevel="0" collapsed="false">
      <c r="A28" s="17"/>
      <c r="B28" s="17"/>
      <c r="C28" s="17"/>
      <c r="D28" s="17"/>
      <c r="E28" s="18"/>
      <c r="F28" s="17"/>
      <c r="G28" s="13"/>
    </row>
    <row r="29" customFormat="false" ht="15" hidden="false" customHeight="false" outlineLevel="0" collapsed="false">
      <c r="A29" s="17"/>
      <c r="B29" s="17"/>
      <c r="C29" s="17"/>
      <c r="D29" s="17"/>
      <c r="E29" s="18"/>
      <c r="F29" s="17"/>
      <c r="G29" s="13"/>
    </row>
    <row r="30" customFormat="false" ht="15" hidden="false" customHeight="false" outlineLevel="0" collapsed="false">
      <c r="A30" s="17"/>
      <c r="B30" s="17"/>
      <c r="C30" s="17"/>
      <c r="D30" s="17"/>
      <c r="E30" s="18"/>
      <c r="F30" s="17"/>
      <c r="G30" s="13"/>
    </row>
    <row r="31" customFormat="false" ht="15" hidden="false" customHeight="false" outlineLevel="0" collapsed="false">
      <c r="A31" s="17"/>
      <c r="B31" s="17"/>
      <c r="C31" s="17"/>
      <c r="D31" s="17"/>
      <c r="E31" s="18"/>
      <c r="F31" s="17"/>
      <c r="G31" s="13"/>
    </row>
    <row r="32" customFormat="false" ht="15" hidden="false" customHeight="false" outlineLevel="0" collapsed="false">
      <c r="A32" s="17"/>
      <c r="B32" s="17"/>
      <c r="C32" s="17"/>
      <c r="D32" s="17"/>
      <c r="E32" s="18"/>
      <c r="F32" s="17"/>
      <c r="G32" s="13"/>
    </row>
    <row r="33" customFormat="false" ht="15" hidden="false" customHeight="false" outlineLevel="0" collapsed="false">
      <c r="A33" s="17"/>
      <c r="B33" s="17"/>
      <c r="C33" s="17"/>
      <c r="D33" s="17"/>
      <c r="E33" s="18"/>
      <c r="F33" s="17"/>
      <c r="G33" s="13"/>
    </row>
    <row r="34" customFormat="false" ht="15" hidden="false" customHeight="false" outlineLevel="0" collapsed="false">
      <c r="A34" s="17"/>
      <c r="B34" s="17"/>
      <c r="C34" s="17"/>
      <c r="D34" s="17"/>
      <c r="E34" s="18"/>
      <c r="F34" s="17"/>
      <c r="G34" s="13"/>
    </row>
    <row r="35" customFormat="false" ht="15" hidden="false" customHeight="false" outlineLevel="0" collapsed="false">
      <c r="A35" s="17"/>
      <c r="B35" s="17"/>
      <c r="C35" s="17"/>
      <c r="D35" s="17"/>
      <c r="E35" s="18"/>
      <c r="F35" s="17"/>
      <c r="G35" s="13"/>
    </row>
    <row r="36" customFormat="false" ht="15" hidden="false" customHeight="false" outlineLevel="0" collapsed="false">
      <c r="A36" s="17"/>
      <c r="B36" s="17"/>
      <c r="C36" s="17"/>
      <c r="D36" s="17"/>
      <c r="E36" s="18"/>
      <c r="F36" s="17"/>
      <c r="G36" s="13"/>
    </row>
    <row r="37" customFormat="false" ht="15" hidden="false" customHeight="false" outlineLevel="0" collapsed="false">
      <c r="A37" s="17"/>
      <c r="B37" s="17"/>
      <c r="C37" s="17"/>
      <c r="D37" s="17"/>
      <c r="E37" s="18"/>
      <c r="F37" s="17"/>
      <c r="G37" s="13"/>
    </row>
    <row r="38" customFormat="false" ht="15" hidden="false" customHeight="false" outlineLevel="0" collapsed="false">
      <c r="A38" s="17"/>
      <c r="B38" s="17"/>
      <c r="C38" s="17"/>
      <c r="D38" s="17"/>
      <c r="E38" s="18"/>
      <c r="F38" s="17"/>
      <c r="G38" s="13"/>
    </row>
    <row r="39" customFormat="false" ht="15" hidden="false" customHeight="false" outlineLevel="0" collapsed="false">
      <c r="A39" s="17"/>
      <c r="B39" s="17"/>
      <c r="C39" s="17"/>
      <c r="D39" s="17"/>
      <c r="E39" s="18"/>
      <c r="F39" s="17"/>
      <c r="G39" s="13"/>
    </row>
    <row r="40" customFormat="false" ht="15" hidden="false" customHeight="false" outlineLevel="0" collapsed="false">
      <c r="A40" s="17"/>
      <c r="B40" s="17"/>
      <c r="C40" s="17"/>
      <c r="D40" s="17"/>
      <c r="E40" s="18"/>
      <c r="F40" s="17"/>
      <c r="G40" s="13"/>
    </row>
    <row r="41" customFormat="false" ht="15" hidden="false" customHeight="false" outlineLevel="0" collapsed="false">
      <c r="A41" s="17"/>
      <c r="B41" s="17"/>
      <c r="C41" s="17"/>
      <c r="D41" s="17"/>
      <c r="E41" s="18"/>
      <c r="F41" s="17"/>
      <c r="G41" s="13"/>
    </row>
    <row r="42" customFormat="false" ht="15" hidden="false" customHeight="false" outlineLevel="0" collapsed="false">
      <c r="A42" s="17"/>
      <c r="B42" s="17"/>
      <c r="C42" s="17"/>
      <c r="D42" s="17"/>
      <c r="E42" s="18"/>
      <c r="F42" s="17"/>
      <c r="G42" s="13"/>
    </row>
    <row r="43" customFormat="false" ht="15" hidden="false" customHeight="false" outlineLevel="0" collapsed="false">
      <c r="A43" s="17"/>
      <c r="B43" s="17"/>
      <c r="C43" s="17"/>
      <c r="D43" s="17"/>
      <c r="E43" s="18"/>
      <c r="F43" s="17"/>
      <c r="G43" s="13"/>
    </row>
    <row r="44" customFormat="false" ht="15" hidden="false" customHeight="false" outlineLevel="0" collapsed="false">
      <c r="A44" s="17"/>
      <c r="B44" s="17"/>
      <c r="C44" s="17"/>
      <c r="D44" s="17"/>
      <c r="E44" s="18"/>
      <c r="F44" s="17"/>
      <c r="G44" s="13"/>
    </row>
    <row r="45" customFormat="false" ht="15" hidden="false" customHeight="false" outlineLevel="0" collapsed="false">
      <c r="A45" s="17"/>
      <c r="B45" s="17"/>
      <c r="C45" s="17"/>
      <c r="D45" s="17"/>
      <c r="E45" s="18"/>
      <c r="F45" s="17"/>
      <c r="G45" s="13"/>
    </row>
    <row r="46" customFormat="false" ht="15" hidden="false" customHeight="false" outlineLevel="0" collapsed="false">
      <c r="A46" s="17"/>
      <c r="B46" s="17"/>
      <c r="C46" s="17"/>
      <c r="D46" s="17"/>
      <c r="E46" s="18"/>
      <c r="F46" s="17"/>
      <c r="G46" s="13"/>
    </row>
    <row r="47" customFormat="false" ht="15" hidden="false" customHeight="false" outlineLevel="0" collapsed="false">
      <c r="A47" s="17"/>
      <c r="B47" s="17"/>
      <c r="C47" s="17"/>
      <c r="D47" s="17"/>
      <c r="E47" s="18"/>
      <c r="F47" s="17"/>
      <c r="G47" s="13"/>
    </row>
    <row r="48" customFormat="false" ht="15" hidden="false" customHeight="false" outlineLevel="0" collapsed="false">
      <c r="A48" s="17"/>
      <c r="B48" s="17"/>
      <c r="C48" s="17"/>
      <c r="D48" s="17"/>
      <c r="E48" s="18"/>
      <c r="F48" s="17"/>
      <c r="G48" s="13"/>
    </row>
    <row r="49" customFormat="false" ht="15" hidden="false" customHeight="false" outlineLevel="0" collapsed="false">
      <c r="A49" s="17"/>
      <c r="B49" s="17"/>
      <c r="C49" s="17"/>
      <c r="D49" s="17"/>
      <c r="E49" s="18"/>
      <c r="F49" s="17"/>
      <c r="G49" s="13"/>
    </row>
    <row r="50" customFormat="false" ht="15" hidden="false" customHeight="false" outlineLevel="0" collapsed="false">
      <c r="A50" s="17"/>
      <c r="B50" s="17"/>
      <c r="C50" s="17"/>
      <c r="D50" s="17"/>
      <c r="E50" s="18"/>
      <c r="F50" s="17"/>
      <c r="G50" s="13"/>
    </row>
    <row r="51" customFormat="false" ht="15" hidden="false" customHeight="false" outlineLevel="0" collapsed="false">
      <c r="A51" s="17"/>
      <c r="B51" s="17"/>
      <c r="C51" s="17"/>
      <c r="D51" s="17"/>
      <c r="E51" s="18"/>
      <c r="F51" s="17"/>
      <c r="G51" s="13"/>
    </row>
    <row r="52" customFormat="false" ht="15" hidden="false" customHeight="false" outlineLevel="0" collapsed="false">
      <c r="A52" s="17"/>
      <c r="B52" s="17"/>
      <c r="C52" s="17"/>
      <c r="D52" s="17"/>
      <c r="E52" s="18"/>
      <c r="F52" s="17"/>
      <c r="G52" s="13"/>
    </row>
    <row r="53" customFormat="false" ht="15" hidden="false" customHeight="false" outlineLevel="0" collapsed="false">
      <c r="A53" s="17"/>
      <c r="B53" s="17"/>
      <c r="C53" s="17"/>
      <c r="D53" s="17"/>
      <c r="E53" s="18"/>
      <c r="F53" s="17"/>
      <c r="G53" s="13"/>
    </row>
    <row r="54" customFormat="false" ht="15" hidden="false" customHeight="false" outlineLevel="0" collapsed="false">
      <c r="A54" s="17"/>
      <c r="B54" s="17"/>
      <c r="C54" s="17"/>
      <c r="D54" s="17"/>
      <c r="E54" s="18"/>
      <c r="F54" s="17"/>
      <c r="G54" s="13"/>
    </row>
    <row r="55" customFormat="false" ht="15" hidden="false" customHeight="false" outlineLevel="0" collapsed="false">
      <c r="A55" s="17"/>
      <c r="B55" s="17"/>
      <c r="C55" s="17"/>
      <c r="D55" s="17"/>
      <c r="E55" s="18"/>
      <c r="F55" s="17"/>
      <c r="G55" s="13"/>
    </row>
    <row r="56" customFormat="false" ht="15" hidden="false" customHeight="false" outlineLevel="0" collapsed="false">
      <c r="A56" s="17"/>
      <c r="B56" s="17"/>
      <c r="C56" s="17"/>
      <c r="D56" s="17"/>
      <c r="E56" s="18"/>
      <c r="F56" s="17"/>
      <c r="G56" s="13"/>
    </row>
    <row r="57" customFormat="false" ht="15" hidden="false" customHeight="false" outlineLevel="0" collapsed="false">
      <c r="A57" s="17"/>
      <c r="B57" s="17"/>
      <c r="C57" s="17"/>
      <c r="D57" s="17"/>
      <c r="E57" s="18"/>
      <c r="F57" s="17"/>
      <c r="G57" s="13"/>
    </row>
    <row r="58" customFormat="false" ht="15" hidden="false" customHeight="false" outlineLevel="0" collapsed="false">
      <c r="A58" s="17"/>
      <c r="B58" s="17"/>
      <c r="C58" s="17"/>
      <c r="D58" s="17"/>
      <c r="E58" s="18"/>
      <c r="F58" s="17"/>
      <c r="G58" s="13"/>
    </row>
    <row r="59" customFormat="false" ht="15" hidden="false" customHeight="false" outlineLevel="0" collapsed="false">
      <c r="A59" s="17"/>
      <c r="B59" s="17"/>
      <c r="C59" s="17"/>
      <c r="D59" s="17"/>
      <c r="E59" s="18"/>
      <c r="F59" s="17"/>
      <c r="G59" s="13"/>
    </row>
    <row r="60" customFormat="false" ht="15" hidden="false" customHeight="false" outlineLevel="0" collapsed="false">
      <c r="A60" s="17"/>
      <c r="B60" s="17"/>
      <c r="C60" s="17"/>
      <c r="D60" s="17"/>
      <c r="E60" s="18"/>
      <c r="F60" s="17"/>
      <c r="G60" s="13"/>
    </row>
    <row r="61" customFormat="false" ht="15" hidden="false" customHeight="false" outlineLevel="0" collapsed="false">
      <c r="A61" s="17"/>
      <c r="B61" s="17"/>
      <c r="C61" s="17"/>
      <c r="D61" s="17"/>
      <c r="E61" s="18"/>
      <c r="F61" s="17"/>
      <c r="G61" s="13"/>
    </row>
    <row r="62" customFormat="false" ht="15" hidden="false" customHeight="false" outlineLevel="0" collapsed="false">
      <c r="A62" s="17"/>
      <c r="B62" s="17"/>
      <c r="C62" s="17"/>
      <c r="D62" s="17"/>
      <c r="E62" s="18"/>
      <c r="F62" s="17"/>
      <c r="G62" s="13"/>
    </row>
    <row r="63" customFormat="false" ht="15" hidden="false" customHeight="false" outlineLevel="0" collapsed="false">
      <c r="A63" s="17"/>
      <c r="B63" s="17"/>
      <c r="C63" s="17"/>
      <c r="D63" s="17"/>
      <c r="E63" s="18"/>
      <c r="F63" s="17"/>
      <c r="G63" s="13"/>
    </row>
    <row r="64" customFormat="false" ht="15" hidden="false" customHeight="false" outlineLevel="0" collapsed="false">
      <c r="A64" s="17"/>
      <c r="B64" s="17"/>
      <c r="C64" s="17"/>
      <c r="D64" s="17"/>
      <c r="E64" s="18"/>
      <c r="F64" s="17"/>
      <c r="G64" s="13"/>
    </row>
    <row r="65" customFormat="false" ht="15" hidden="false" customHeight="false" outlineLevel="0" collapsed="false">
      <c r="A65" s="17"/>
      <c r="B65" s="17"/>
      <c r="C65" s="17"/>
      <c r="D65" s="17"/>
      <c r="E65" s="18"/>
      <c r="F65" s="17"/>
      <c r="G65" s="13"/>
    </row>
    <row r="66" customFormat="false" ht="15" hidden="false" customHeight="false" outlineLevel="0" collapsed="false">
      <c r="A66" s="17"/>
      <c r="B66" s="17"/>
      <c r="C66" s="17"/>
      <c r="D66" s="17"/>
      <c r="E66" s="18"/>
      <c r="F66" s="17"/>
      <c r="G66" s="13"/>
    </row>
    <row r="67" customFormat="false" ht="15" hidden="false" customHeight="false" outlineLevel="0" collapsed="false">
      <c r="A67" s="17"/>
      <c r="B67" s="17"/>
      <c r="C67" s="17"/>
      <c r="D67" s="17"/>
      <c r="E67" s="18"/>
      <c r="F67" s="17"/>
      <c r="G67" s="13"/>
    </row>
    <row r="68" customFormat="false" ht="15" hidden="false" customHeight="false" outlineLevel="0" collapsed="false">
      <c r="A68" s="17"/>
      <c r="B68" s="17"/>
      <c r="C68" s="17"/>
      <c r="D68" s="17"/>
      <c r="E68" s="18"/>
      <c r="F68" s="17"/>
      <c r="G68" s="13"/>
    </row>
    <row r="69" customFormat="false" ht="15" hidden="false" customHeight="false" outlineLevel="0" collapsed="false">
      <c r="A69" s="17"/>
      <c r="B69" s="17"/>
      <c r="C69" s="17"/>
      <c r="D69" s="17"/>
      <c r="E69" s="18"/>
      <c r="F69" s="17"/>
      <c r="G69" s="13"/>
    </row>
    <row r="70" customFormat="false" ht="15" hidden="false" customHeight="false" outlineLevel="0" collapsed="false">
      <c r="A70" s="17"/>
      <c r="B70" s="17"/>
      <c r="C70" s="17"/>
      <c r="D70" s="17"/>
      <c r="E70" s="18"/>
      <c r="F70" s="17"/>
      <c r="G70" s="13"/>
    </row>
    <row r="71" customFormat="false" ht="15" hidden="false" customHeight="false" outlineLevel="0" collapsed="false">
      <c r="A71" s="17"/>
      <c r="B71" s="17"/>
      <c r="C71" s="17"/>
      <c r="D71" s="17"/>
      <c r="E71" s="18"/>
      <c r="F71" s="17"/>
      <c r="G71" s="13"/>
    </row>
    <row r="72" customFormat="false" ht="15" hidden="false" customHeight="false" outlineLevel="0" collapsed="false">
      <c r="A72" s="17"/>
      <c r="B72" s="17"/>
      <c r="C72" s="17"/>
      <c r="D72" s="17"/>
      <c r="E72" s="18"/>
      <c r="F72" s="17"/>
      <c r="G72" s="13"/>
    </row>
    <row r="73" customFormat="false" ht="15" hidden="false" customHeight="false" outlineLevel="0" collapsed="false">
      <c r="A73" s="17"/>
      <c r="B73" s="17"/>
      <c r="C73" s="17"/>
      <c r="D73" s="17"/>
      <c r="E73" s="18"/>
      <c r="F73" s="17"/>
      <c r="G73" s="13"/>
    </row>
    <row r="74" customFormat="false" ht="15" hidden="false" customHeight="false" outlineLevel="0" collapsed="false">
      <c r="A74" s="17"/>
      <c r="B74" s="17"/>
      <c r="C74" s="17"/>
      <c r="D74" s="17"/>
      <c r="E74" s="18"/>
      <c r="F74" s="17"/>
      <c r="G74" s="13"/>
    </row>
    <row r="75" customFormat="false" ht="15" hidden="false" customHeight="false" outlineLevel="0" collapsed="false">
      <c r="A75" s="17"/>
      <c r="B75" s="17"/>
      <c r="C75" s="17"/>
      <c r="D75" s="17"/>
      <c r="E75" s="18"/>
      <c r="F75" s="17"/>
      <c r="G75" s="13"/>
    </row>
    <row r="76" customFormat="false" ht="15" hidden="false" customHeight="false" outlineLevel="0" collapsed="false">
      <c r="A76" s="17"/>
      <c r="B76" s="17"/>
      <c r="C76" s="17"/>
      <c r="D76" s="17"/>
      <c r="E76" s="18"/>
      <c r="F76" s="17"/>
      <c r="G76" s="13"/>
    </row>
    <row r="77" customFormat="false" ht="15" hidden="false" customHeight="false" outlineLevel="0" collapsed="false">
      <c r="A77" s="17"/>
      <c r="B77" s="17"/>
      <c r="C77" s="17"/>
      <c r="D77" s="17"/>
      <c r="E77" s="18"/>
      <c r="F77" s="17"/>
      <c r="G77" s="13"/>
    </row>
    <row r="78" customFormat="false" ht="15" hidden="false" customHeight="false" outlineLevel="0" collapsed="false">
      <c r="A78" s="17"/>
      <c r="B78" s="17"/>
      <c r="C78" s="17"/>
      <c r="D78" s="17"/>
      <c r="E78" s="18"/>
      <c r="F78" s="17"/>
      <c r="G78" s="13"/>
    </row>
    <row r="79" customFormat="false" ht="15" hidden="false" customHeight="false" outlineLevel="0" collapsed="false">
      <c r="A79" s="17"/>
      <c r="B79" s="17"/>
      <c r="C79" s="17"/>
      <c r="D79" s="17"/>
      <c r="E79" s="18"/>
      <c r="F79" s="17"/>
      <c r="G79" s="13"/>
    </row>
    <row r="80" customFormat="false" ht="15" hidden="false" customHeight="false" outlineLevel="0" collapsed="false">
      <c r="A80" s="17"/>
      <c r="B80" s="17"/>
      <c r="C80" s="17"/>
      <c r="D80" s="17"/>
      <c r="E80" s="18"/>
      <c r="F80" s="17"/>
      <c r="G80" s="13"/>
    </row>
    <row r="81" customFormat="false" ht="15" hidden="false" customHeight="false" outlineLevel="0" collapsed="false">
      <c r="A81" s="17"/>
      <c r="B81" s="17"/>
      <c r="C81" s="17"/>
      <c r="D81" s="17"/>
      <c r="E81" s="18"/>
      <c r="F81" s="17"/>
      <c r="G81" s="13"/>
    </row>
    <row r="82" customFormat="false" ht="15" hidden="false" customHeight="false" outlineLevel="0" collapsed="false">
      <c r="A82" s="17"/>
      <c r="B82" s="17"/>
      <c r="C82" s="17"/>
      <c r="D82" s="17"/>
      <c r="E82" s="18"/>
      <c r="F82" s="17"/>
      <c r="G82" s="13"/>
    </row>
    <row r="83" customFormat="false" ht="15" hidden="false" customHeight="false" outlineLevel="0" collapsed="false">
      <c r="A83" s="17"/>
      <c r="B83" s="17"/>
      <c r="C83" s="17"/>
      <c r="D83" s="17"/>
      <c r="E83" s="18"/>
      <c r="F83" s="17"/>
      <c r="G83" s="13"/>
    </row>
    <row r="84" customFormat="false" ht="15" hidden="false" customHeight="false" outlineLevel="0" collapsed="false">
      <c r="A84" s="17"/>
      <c r="B84" s="17"/>
      <c r="C84" s="17"/>
      <c r="D84" s="17"/>
      <c r="E84" s="18"/>
      <c r="F84" s="17"/>
      <c r="G84" s="13"/>
    </row>
    <row r="85" customFormat="false" ht="15" hidden="false" customHeight="false" outlineLevel="0" collapsed="false">
      <c r="A85" s="17"/>
      <c r="B85" s="17"/>
      <c r="C85" s="17"/>
      <c r="D85" s="17"/>
      <c r="E85" s="18"/>
      <c r="F85" s="17"/>
      <c r="G85" s="13"/>
    </row>
    <row r="86" customFormat="false" ht="15" hidden="false" customHeight="false" outlineLevel="0" collapsed="false">
      <c r="A86" s="17"/>
      <c r="B86" s="17"/>
      <c r="C86" s="17"/>
      <c r="D86" s="17"/>
      <c r="E86" s="18"/>
      <c r="F86" s="17"/>
      <c r="G86" s="13"/>
    </row>
    <row r="87" customFormat="false" ht="15" hidden="false" customHeight="false" outlineLevel="0" collapsed="false">
      <c r="A87" s="17"/>
      <c r="B87" s="17"/>
      <c r="C87" s="17"/>
      <c r="D87" s="17"/>
      <c r="E87" s="18"/>
      <c r="F87" s="17"/>
      <c r="G87" s="13"/>
    </row>
    <row r="88" customFormat="false" ht="15" hidden="false" customHeight="false" outlineLevel="0" collapsed="false">
      <c r="A88" s="17"/>
      <c r="B88" s="17"/>
      <c r="C88" s="17"/>
      <c r="D88" s="17"/>
      <c r="E88" s="18"/>
      <c r="F88" s="17"/>
      <c r="G88" s="13"/>
    </row>
    <row r="89" customFormat="false" ht="15" hidden="false" customHeight="false" outlineLevel="0" collapsed="false">
      <c r="A89" s="17"/>
      <c r="B89" s="17"/>
      <c r="C89" s="17"/>
      <c r="D89" s="17"/>
      <c r="E89" s="18"/>
      <c r="F89" s="17"/>
      <c r="G89" s="13"/>
    </row>
    <row r="90" customFormat="false" ht="15" hidden="false" customHeight="false" outlineLevel="0" collapsed="false">
      <c r="A90" s="17"/>
      <c r="B90" s="17"/>
      <c r="C90" s="17"/>
      <c r="D90" s="17"/>
      <c r="E90" s="18"/>
      <c r="F90" s="17"/>
      <c r="G90" s="13"/>
    </row>
    <row r="91" customFormat="false" ht="15" hidden="false" customHeight="false" outlineLevel="0" collapsed="false">
      <c r="A91" s="17"/>
      <c r="B91" s="17"/>
      <c r="C91" s="17"/>
      <c r="D91" s="17"/>
      <c r="E91" s="18"/>
      <c r="F91" s="17"/>
      <c r="G91" s="13"/>
    </row>
    <row r="92" customFormat="false" ht="15" hidden="false" customHeight="false" outlineLevel="0" collapsed="false">
      <c r="A92" s="17"/>
      <c r="B92" s="17"/>
      <c r="C92" s="17"/>
      <c r="D92" s="17"/>
      <c r="E92" s="18"/>
      <c r="F92" s="17"/>
      <c r="G92" s="13"/>
    </row>
    <row r="93" customFormat="false" ht="15" hidden="false" customHeight="false" outlineLevel="0" collapsed="false">
      <c r="A93" s="17"/>
      <c r="B93" s="17"/>
      <c r="C93" s="17"/>
      <c r="D93" s="17"/>
      <c r="E93" s="18"/>
      <c r="F93" s="17"/>
      <c r="G93" s="13"/>
    </row>
    <row r="94" customFormat="false" ht="15" hidden="false" customHeight="false" outlineLevel="0" collapsed="false">
      <c r="A94" s="17"/>
      <c r="B94" s="17"/>
      <c r="C94" s="17"/>
      <c r="D94" s="17"/>
      <c r="E94" s="18"/>
      <c r="F94" s="17"/>
      <c r="G94" s="13"/>
    </row>
    <row r="95" customFormat="false" ht="15" hidden="false" customHeight="false" outlineLevel="0" collapsed="false">
      <c r="A95" s="17"/>
      <c r="B95" s="17"/>
      <c r="C95" s="17"/>
      <c r="D95" s="17"/>
      <c r="E95" s="18"/>
      <c r="F95" s="17"/>
      <c r="G95" s="13"/>
    </row>
    <row r="96" customFormat="false" ht="15" hidden="false" customHeight="false" outlineLevel="0" collapsed="false">
      <c r="A96" s="17"/>
      <c r="B96" s="17"/>
      <c r="C96" s="17"/>
      <c r="D96" s="17"/>
      <c r="E96" s="18"/>
      <c r="F96" s="17"/>
      <c r="G96" s="13"/>
    </row>
    <row r="97" customFormat="false" ht="15" hidden="false" customHeight="false" outlineLevel="0" collapsed="false">
      <c r="A97" s="17"/>
      <c r="B97" s="17"/>
      <c r="C97" s="17"/>
      <c r="D97" s="17"/>
      <c r="E97" s="18"/>
      <c r="F97" s="17"/>
      <c r="G97" s="13"/>
    </row>
    <row r="98" customFormat="false" ht="15" hidden="false" customHeight="false" outlineLevel="0" collapsed="false">
      <c r="A98" s="17"/>
      <c r="B98" s="17"/>
      <c r="C98" s="17"/>
      <c r="D98" s="17"/>
      <c r="E98" s="18"/>
      <c r="F98" s="17"/>
      <c r="G98" s="13"/>
    </row>
    <row r="99" customFormat="false" ht="15" hidden="false" customHeight="false" outlineLevel="0" collapsed="false">
      <c r="A99" s="17"/>
      <c r="B99" s="17"/>
      <c r="C99" s="17"/>
      <c r="D99" s="17"/>
      <c r="E99" s="18"/>
      <c r="F99" s="17"/>
      <c r="G99" s="13"/>
    </row>
    <row r="100" customFormat="false" ht="15" hidden="false" customHeight="false" outlineLevel="0" collapsed="false">
      <c r="A100" s="17"/>
      <c r="B100" s="17"/>
      <c r="C100" s="17"/>
      <c r="D100" s="17"/>
      <c r="E100" s="18"/>
      <c r="F100" s="17"/>
      <c r="G100" s="13"/>
    </row>
    <row r="101" customFormat="false" ht="15" hidden="false" customHeight="false" outlineLevel="0" collapsed="false">
      <c r="A101" s="17"/>
      <c r="B101" s="17"/>
      <c r="C101" s="17"/>
      <c r="D101" s="17"/>
      <c r="E101" s="18"/>
      <c r="F101" s="17"/>
      <c r="G101" s="13"/>
    </row>
    <row r="102" customFormat="false" ht="15" hidden="false" customHeight="false" outlineLevel="0" collapsed="false">
      <c r="A102" s="17"/>
      <c r="B102" s="17"/>
      <c r="C102" s="17"/>
      <c r="D102" s="17"/>
      <c r="E102" s="18"/>
      <c r="F102" s="17"/>
      <c r="G102" s="13"/>
    </row>
    <row r="103" customFormat="false" ht="15" hidden="false" customHeight="false" outlineLevel="0" collapsed="false">
      <c r="A103" s="17"/>
      <c r="B103" s="17"/>
      <c r="C103" s="17"/>
      <c r="D103" s="17"/>
      <c r="E103" s="18"/>
      <c r="F103" s="17"/>
      <c r="G103" s="13"/>
    </row>
    <row r="104" customFormat="false" ht="15" hidden="false" customHeight="false" outlineLevel="0" collapsed="false">
      <c r="A104" s="17"/>
      <c r="B104" s="17"/>
      <c r="C104" s="17"/>
      <c r="D104" s="17"/>
      <c r="E104" s="18"/>
      <c r="F104" s="17"/>
      <c r="G104" s="13"/>
    </row>
    <row r="105" customFormat="false" ht="15" hidden="false" customHeight="false" outlineLevel="0" collapsed="false">
      <c r="A105" s="17"/>
      <c r="B105" s="17"/>
      <c r="C105" s="17"/>
      <c r="D105" s="17"/>
      <c r="E105" s="18"/>
      <c r="F105" s="17"/>
      <c r="G105" s="13"/>
    </row>
  </sheetData>
  <dataValidations count="1">
    <dataValidation allowBlank="true" errorStyle="stop" operator="between" showDropDown="false" showErrorMessage="false" showInputMessage="false" sqref="C6:C105" type="list">
      <formula1>"MATERIAL,MANO DE OBRA,EQUIPO,TRANSPORTE"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7" t="s">
        <v>56</v>
      </c>
    </row>
    <row r="5" customFormat="false" ht="31.5" hidden="false" customHeight="true" outlineLevel="0" collapsed="false">
      <c r="A5" s="8" t="s">
        <v>57</v>
      </c>
      <c r="B5" s="8" t="s">
        <v>58</v>
      </c>
      <c r="C5" s="8" t="s">
        <v>59</v>
      </c>
      <c r="D5" s="8" t="s">
        <v>60</v>
      </c>
      <c r="E5" s="8" t="s">
        <v>61</v>
      </c>
      <c r="F5" s="8" t="s">
        <v>33</v>
      </c>
      <c r="G5" s="8" t="s">
        <v>62</v>
      </c>
      <c r="H5" s="8" t="s">
        <v>63</v>
      </c>
      <c r="I5" s="8" t="s">
        <v>35</v>
      </c>
      <c r="J5" s="8" t="s">
        <v>64</v>
      </c>
      <c r="L5" s="7" t="s">
        <v>65</v>
      </c>
    </row>
    <row r="6" customFormat="false" ht="15" hidden="false" customHeight="false" outlineLevel="0" collapsed="false">
      <c r="A6" s="14" t="s">
        <v>66</v>
      </c>
      <c r="B6" s="14" t="s">
        <v>67</v>
      </c>
      <c r="C6" s="14" t="s">
        <v>41</v>
      </c>
      <c r="D6" s="14" t="s">
        <v>38</v>
      </c>
      <c r="E6" s="19" t="str">
        <f aca="false">IF(D6="","",IFERROR(INDEX(Insumos!$B$6:$B$105,MATCH(D6,Insumos!$A$6:$A$105,0)),"No existe"))</f>
        <v>Concreto premezclado 3000 PSI</v>
      </c>
      <c r="F6" s="19" t="str">
        <f aca="false">IF(D6="","",IFERROR(INDEX(Insumos!$C$6:$C$105,MATCH(D6,Insumos!$A$6:$A$105,0)),""))</f>
        <v>MATERIAL</v>
      </c>
      <c r="G6" s="19" t="str">
        <f aca="false">IF(D6="","",IFERROR(INDEX(Insumos!$D$6:$D$105,MATCH(D6,Insumos!$A$6:$A$105,0)),""))</f>
        <v>m³</v>
      </c>
      <c r="H6" s="20" t="n">
        <v>1.05</v>
      </c>
      <c r="I6" s="21" t="n">
        <f aca="false">IF(D6="","",IFERROR(INDEX(Insumos!$E$6:$E$105,MATCH(D6,Insumos!$A$6:$A$105,0)),0))</f>
        <v>450000</v>
      </c>
      <c r="J6" s="21" t="n">
        <f aca="false">IF(OR(D6="",H6=""),"",H6*I6)</f>
        <v>472500</v>
      </c>
    </row>
    <row r="7" customFormat="false" ht="15" hidden="false" customHeight="false" outlineLevel="0" collapsed="false">
      <c r="A7" s="14" t="s">
        <v>66</v>
      </c>
      <c r="B7" s="14" t="s">
        <v>67</v>
      </c>
      <c r="C7" s="14" t="s">
        <v>41</v>
      </c>
      <c r="D7" s="14" t="s">
        <v>46</v>
      </c>
      <c r="E7" s="19" t="str">
        <f aca="false">IF(D7="","",IFERROR(INDEX(Insumos!$B$6:$B$105,MATCH(D7,Insumos!$A$6:$A$105,0)),"No existe"))</f>
        <v>Cuadrilla obra civil</v>
      </c>
      <c r="F7" s="19" t="str">
        <f aca="false">IF(D7="","",IFERROR(INDEX(Insumos!$C$6:$C$105,MATCH(D7,Insumos!$A$6:$A$105,0)),""))</f>
        <v>MANO DE OBRA</v>
      </c>
      <c r="G7" s="19" t="str">
        <f aca="false">IF(D7="","",IFERROR(INDEX(Insumos!$D$6:$D$105,MATCH(D7,Insumos!$A$6:$A$105,0)),""))</f>
        <v>h</v>
      </c>
      <c r="H7" s="20" t="n">
        <v>3</v>
      </c>
      <c r="I7" s="21" t="n">
        <f aca="false">IF(D7="","",IFERROR(INDEX(Insumos!$E$6:$E$105,MATCH(D7,Insumos!$A$6:$A$105,0)),0))</f>
        <v>15000</v>
      </c>
      <c r="J7" s="21" t="n">
        <f aca="false">IF(OR(D7="",H7=""),"",H7*I7)</f>
        <v>45000</v>
      </c>
    </row>
    <row r="8" customFormat="false" ht="15" hidden="false" customHeight="false" outlineLevel="0" collapsed="false">
      <c r="A8" s="14" t="s">
        <v>66</v>
      </c>
      <c r="B8" s="14" t="s">
        <v>67</v>
      </c>
      <c r="C8" s="14" t="s">
        <v>41</v>
      </c>
      <c r="D8" s="14" t="s">
        <v>50</v>
      </c>
      <c r="E8" s="19" t="str">
        <f aca="false">IF(D8="","",IFERROR(INDEX(Insumos!$B$6:$B$105,MATCH(D8,Insumos!$A$6:$A$105,0)),"No existe"))</f>
        <v>Ayudante general</v>
      </c>
      <c r="F8" s="19" t="str">
        <f aca="false">IF(D8="","",IFERROR(INDEX(Insumos!$C$6:$C$105,MATCH(D8,Insumos!$A$6:$A$105,0)),""))</f>
        <v>MANO DE OBRA</v>
      </c>
      <c r="G8" s="19" t="str">
        <f aca="false">IF(D8="","",IFERROR(INDEX(Insumos!$D$6:$D$105,MATCH(D8,Insumos!$A$6:$A$105,0)),""))</f>
        <v>h</v>
      </c>
      <c r="H8" s="20" t="n">
        <v>3</v>
      </c>
      <c r="I8" s="21" t="n">
        <f aca="false">IF(D8="","",IFERROR(INDEX(Insumos!$E$6:$E$105,MATCH(D8,Insumos!$A$6:$A$105,0)),0))</f>
        <v>12000</v>
      </c>
      <c r="J8" s="21" t="n">
        <f aca="false">IF(OR(D8="",H8=""),"",H8*I8)</f>
        <v>36000</v>
      </c>
    </row>
    <row r="9" customFormat="false" ht="15" hidden="false" customHeight="false" outlineLevel="0" collapsed="false">
      <c r="A9" s="14" t="s">
        <v>66</v>
      </c>
      <c r="B9" s="14" t="s">
        <v>67</v>
      </c>
      <c r="C9" s="14" t="s">
        <v>41</v>
      </c>
      <c r="D9" s="14" t="s">
        <v>52</v>
      </c>
      <c r="E9" s="19" t="str">
        <f aca="false">IF(D9="","",IFERROR(INDEX(Insumos!$B$6:$B$105,MATCH(D9,Insumos!$A$6:$A$105,0)),"No existe"))</f>
        <v>Bomba estacionaria</v>
      </c>
      <c r="F9" s="19" t="str">
        <f aca="false">IF(D9="","",IFERROR(INDEX(Insumos!$C$6:$C$105,MATCH(D9,Insumos!$A$6:$A$105,0)),""))</f>
        <v>EQUIPO</v>
      </c>
      <c r="G9" s="19" t="str">
        <f aca="false">IF(D9="","",IFERROR(INDEX(Insumos!$D$6:$D$105,MATCH(D9,Insumos!$A$6:$A$105,0)),""))</f>
        <v>h</v>
      </c>
      <c r="H9" s="20" t="n">
        <v>0.25</v>
      </c>
      <c r="I9" s="21" t="n">
        <f aca="false">IF(D9="","",IFERROR(INDEX(Insumos!$E$6:$E$105,MATCH(D9,Insumos!$A$6:$A$105,0)),0))</f>
        <v>95000</v>
      </c>
      <c r="J9" s="21" t="n">
        <f aca="false">IF(OR(D9="",H9=""),"",H9*I9)</f>
        <v>23750</v>
      </c>
    </row>
    <row r="10" customFormat="false" ht="15" hidden="false" customHeight="false" outlineLevel="0" collapsed="false">
      <c r="A10" s="17"/>
      <c r="B10" s="17"/>
      <c r="C10" s="17"/>
      <c r="D10" s="17"/>
      <c r="E10" s="9" t="str">
        <f aca="false">IF(D10="","",IFERROR(INDEX(Insumos!$B$6:$B$105,MATCH(D10,Insumos!$A$6:$A$105,0)),"No existe"))</f>
        <v/>
      </c>
      <c r="F10" s="9" t="str">
        <f aca="false">IF(D10="","",IFERROR(INDEX(Insumos!$C$6:$C$105,MATCH(D10,Insumos!$A$6:$A$105,0)),""))</f>
        <v/>
      </c>
      <c r="G10" s="9" t="str">
        <f aca="false">IF(D10="","",IFERROR(INDEX(Insumos!$D$6:$D$105,MATCH(D10,Insumos!$A$6:$A$105,0)),""))</f>
        <v/>
      </c>
      <c r="H10" s="22"/>
      <c r="I10" s="23" t="str">
        <f aca="false">IF(D10="","",IFERROR(INDEX(Insumos!$E$6:$E$105,MATCH(D10,Insumos!$A$6:$A$105,0)),0))</f>
        <v/>
      </c>
      <c r="J10" s="23" t="str">
        <f aca="false">IF(OR(D10="",H10=""),"",H10*I10)</f>
        <v/>
      </c>
    </row>
    <row r="11" customFormat="false" ht="15" hidden="false" customHeight="false" outlineLevel="0" collapsed="false">
      <c r="A11" s="17"/>
      <c r="B11" s="17"/>
      <c r="C11" s="17"/>
      <c r="D11" s="17"/>
      <c r="E11" s="9" t="str">
        <f aca="false">IF(D11="","",IFERROR(INDEX(Insumos!$B$6:$B$105,MATCH(D11,Insumos!$A$6:$A$105,0)),"No existe"))</f>
        <v/>
      </c>
      <c r="F11" s="9" t="str">
        <f aca="false">IF(D11="","",IFERROR(INDEX(Insumos!$C$6:$C$105,MATCH(D11,Insumos!$A$6:$A$105,0)),""))</f>
        <v/>
      </c>
      <c r="G11" s="9" t="str">
        <f aca="false">IF(D11="","",IFERROR(INDEX(Insumos!$D$6:$D$105,MATCH(D11,Insumos!$A$6:$A$105,0)),""))</f>
        <v/>
      </c>
      <c r="H11" s="22"/>
      <c r="I11" s="23" t="str">
        <f aca="false">IF(D11="","",IFERROR(INDEX(Insumos!$E$6:$E$105,MATCH(D11,Insumos!$A$6:$A$105,0)),0))</f>
        <v/>
      </c>
      <c r="J11" s="23" t="str">
        <f aca="false">IF(OR(D11="",H11=""),"",H11*I11)</f>
        <v/>
      </c>
    </row>
    <row r="12" customFormat="false" ht="15" hidden="false" customHeight="false" outlineLevel="0" collapsed="false">
      <c r="A12" s="17"/>
      <c r="B12" s="17"/>
      <c r="C12" s="17"/>
      <c r="D12" s="17"/>
      <c r="E12" s="9" t="str">
        <f aca="false">IF(D12="","",IFERROR(INDEX(Insumos!$B$6:$B$105,MATCH(D12,Insumos!$A$6:$A$105,0)),"No existe"))</f>
        <v/>
      </c>
      <c r="F12" s="9" t="str">
        <f aca="false">IF(D12="","",IFERROR(INDEX(Insumos!$C$6:$C$105,MATCH(D12,Insumos!$A$6:$A$105,0)),""))</f>
        <v/>
      </c>
      <c r="G12" s="9" t="str">
        <f aca="false">IF(D12="","",IFERROR(INDEX(Insumos!$D$6:$D$105,MATCH(D12,Insumos!$A$6:$A$105,0)),""))</f>
        <v/>
      </c>
      <c r="H12" s="22"/>
      <c r="I12" s="23" t="str">
        <f aca="false">IF(D12="","",IFERROR(INDEX(Insumos!$E$6:$E$105,MATCH(D12,Insumos!$A$6:$A$105,0)),0))</f>
        <v/>
      </c>
      <c r="J12" s="23" t="str">
        <f aca="false">IF(OR(D12="",H12=""),"",H12*I12)</f>
        <v/>
      </c>
    </row>
    <row r="13" customFormat="false" ht="15" hidden="false" customHeight="false" outlineLevel="0" collapsed="false">
      <c r="A13" s="17"/>
      <c r="B13" s="17"/>
      <c r="C13" s="17"/>
      <c r="D13" s="17"/>
      <c r="E13" s="9" t="str">
        <f aca="false">IF(D13="","",IFERROR(INDEX(Insumos!$B$6:$B$105,MATCH(D13,Insumos!$A$6:$A$105,0)),"No existe"))</f>
        <v/>
      </c>
      <c r="F13" s="9" t="str">
        <f aca="false">IF(D13="","",IFERROR(INDEX(Insumos!$C$6:$C$105,MATCH(D13,Insumos!$A$6:$A$105,0)),""))</f>
        <v/>
      </c>
      <c r="G13" s="9" t="str">
        <f aca="false">IF(D13="","",IFERROR(INDEX(Insumos!$D$6:$D$105,MATCH(D13,Insumos!$A$6:$A$105,0)),""))</f>
        <v/>
      </c>
      <c r="H13" s="22"/>
      <c r="I13" s="23" t="str">
        <f aca="false">IF(D13="","",IFERROR(INDEX(Insumos!$E$6:$E$105,MATCH(D13,Insumos!$A$6:$A$105,0)),0))</f>
        <v/>
      </c>
      <c r="J13" s="23" t="str">
        <f aca="false">IF(OR(D13="",H13=""),"",H13*I13)</f>
        <v/>
      </c>
    </row>
    <row r="14" customFormat="false" ht="15" hidden="false" customHeight="false" outlineLevel="0" collapsed="false">
      <c r="A14" s="17"/>
      <c r="B14" s="17"/>
      <c r="C14" s="17"/>
      <c r="D14" s="17"/>
      <c r="E14" s="9" t="str">
        <f aca="false">IF(D14="","",IFERROR(INDEX(Insumos!$B$6:$B$105,MATCH(D14,Insumos!$A$6:$A$105,0)),"No existe"))</f>
        <v/>
      </c>
      <c r="F14" s="9" t="str">
        <f aca="false">IF(D14="","",IFERROR(INDEX(Insumos!$C$6:$C$105,MATCH(D14,Insumos!$A$6:$A$105,0)),""))</f>
        <v/>
      </c>
      <c r="G14" s="9" t="str">
        <f aca="false">IF(D14="","",IFERROR(INDEX(Insumos!$D$6:$D$105,MATCH(D14,Insumos!$A$6:$A$105,0)),""))</f>
        <v/>
      </c>
      <c r="H14" s="22"/>
      <c r="I14" s="23" t="str">
        <f aca="false">IF(D14="","",IFERROR(INDEX(Insumos!$E$6:$E$105,MATCH(D14,Insumos!$A$6:$A$105,0)),0))</f>
        <v/>
      </c>
      <c r="J14" s="23" t="str">
        <f aca="false">IF(OR(D14="",H14=""),"",H14*I14)</f>
        <v/>
      </c>
    </row>
    <row r="15" customFormat="false" ht="15" hidden="false" customHeight="false" outlineLevel="0" collapsed="false">
      <c r="A15" s="17"/>
      <c r="B15" s="17"/>
      <c r="C15" s="17"/>
      <c r="D15" s="17"/>
      <c r="E15" s="9" t="str">
        <f aca="false">IF(D15="","",IFERROR(INDEX(Insumos!$B$6:$B$105,MATCH(D15,Insumos!$A$6:$A$105,0)),"No existe"))</f>
        <v/>
      </c>
      <c r="F15" s="9" t="str">
        <f aca="false">IF(D15="","",IFERROR(INDEX(Insumos!$C$6:$C$105,MATCH(D15,Insumos!$A$6:$A$105,0)),""))</f>
        <v/>
      </c>
      <c r="G15" s="9" t="str">
        <f aca="false">IF(D15="","",IFERROR(INDEX(Insumos!$D$6:$D$105,MATCH(D15,Insumos!$A$6:$A$105,0)),""))</f>
        <v/>
      </c>
      <c r="H15" s="22"/>
      <c r="I15" s="23" t="str">
        <f aca="false">IF(D15="","",IFERROR(INDEX(Insumos!$E$6:$E$105,MATCH(D15,Insumos!$A$6:$A$105,0)),0))</f>
        <v/>
      </c>
      <c r="J15" s="23" t="str">
        <f aca="false">IF(OR(D15="",H15=""),"",H15*I15)</f>
        <v/>
      </c>
    </row>
    <row r="16" customFormat="false" ht="15" hidden="false" customHeight="false" outlineLevel="0" collapsed="false">
      <c r="A16" s="17"/>
      <c r="B16" s="17"/>
      <c r="C16" s="17"/>
      <c r="D16" s="17"/>
      <c r="E16" s="9" t="str">
        <f aca="false">IF(D16="","",IFERROR(INDEX(Insumos!$B$6:$B$105,MATCH(D16,Insumos!$A$6:$A$105,0)),"No existe"))</f>
        <v/>
      </c>
      <c r="F16" s="9" t="str">
        <f aca="false">IF(D16="","",IFERROR(INDEX(Insumos!$C$6:$C$105,MATCH(D16,Insumos!$A$6:$A$105,0)),""))</f>
        <v/>
      </c>
      <c r="G16" s="9" t="str">
        <f aca="false">IF(D16="","",IFERROR(INDEX(Insumos!$D$6:$D$105,MATCH(D16,Insumos!$A$6:$A$105,0)),""))</f>
        <v/>
      </c>
      <c r="H16" s="22"/>
      <c r="I16" s="23" t="str">
        <f aca="false">IF(D16="","",IFERROR(INDEX(Insumos!$E$6:$E$105,MATCH(D16,Insumos!$A$6:$A$105,0)),0))</f>
        <v/>
      </c>
      <c r="J16" s="23" t="str">
        <f aca="false">IF(OR(D16="",H16=""),"",H16*I16)</f>
        <v/>
      </c>
    </row>
    <row r="17" customFormat="false" ht="15" hidden="false" customHeight="false" outlineLevel="0" collapsed="false">
      <c r="A17" s="17"/>
      <c r="B17" s="17"/>
      <c r="C17" s="17"/>
      <c r="D17" s="17"/>
      <c r="E17" s="9" t="str">
        <f aca="false">IF(D17="","",IFERROR(INDEX(Insumos!$B$6:$B$105,MATCH(D17,Insumos!$A$6:$A$105,0)),"No existe"))</f>
        <v/>
      </c>
      <c r="F17" s="9" t="str">
        <f aca="false">IF(D17="","",IFERROR(INDEX(Insumos!$C$6:$C$105,MATCH(D17,Insumos!$A$6:$A$105,0)),""))</f>
        <v/>
      </c>
      <c r="G17" s="9" t="str">
        <f aca="false">IF(D17="","",IFERROR(INDEX(Insumos!$D$6:$D$105,MATCH(D17,Insumos!$A$6:$A$105,0)),""))</f>
        <v/>
      </c>
      <c r="H17" s="22"/>
      <c r="I17" s="23" t="str">
        <f aca="false">IF(D17="","",IFERROR(INDEX(Insumos!$E$6:$E$105,MATCH(D17,Insumos!$A$6:$A$105,0)),0))</f>
        <v/>
      </c>
      <c r="J17" s="23" t="str">
        <f aca="false">IF(OR(D17="",H17=""),"",H17*I17)</f>
        <v/>
      </c>
    </row>
    <row r="18" customFormat="false" ht="15" hidden="false" customHeight="false" outlineLevel="0" collapsed="false">
      <c r="A18" s="17"/>
      <c r="B18" s="17"/>
      <c r="C18" s="17"/>
      <c r="D18" s="17"/>
      <c r="E18" s="9" t="str">
        <f aca="false">IF(D18="","",IFERROR(INDEX(Insumos!$B$6:$B$105,MATCH(D18,Insumos!$A$6:$A$105,0)),"No existe"))</f>
        <v/>
      </c>
      <c r="F18" s="9" t="str">
        <f aca="false">IF(D18="","",IFERROR(INDEX(Insumos!$C$6:$C$105,MATCH(D18,Insumos!$A$6:$A$105,0)),""))</f>
        <v/>
      </c>
      <c r="G18" s="9" t="str">
        <f aca="false">IF(D18="","",IFERROR(INDEX(Insumos!$D$6:$D$105,MATCH(D18,Insumos!$A$6:$A$105,0)),""))</f>
        <v/>
      </c>
      <c r="H18" s="22"/>
      <c r="I18" s="23" t="str">
        <f aca="false">IF(D18="","",IFERROR(INDEX(Insumos!$E$6:$E$105,MATCH(D18,Insumos!$A$6:$A$105,0)),0))</f>
        <v/>
      </c>
      <c r="J18" s="23" t="str">
        <f aca="false">IF(OR(D18="",H18=""),"",H18*I18)</f>
        <v/>
      </c>
    </row>
    <row r="19" customFormat="false" ht="15" hidden="false" customHeight="false" outlineLevel="0" collapsed="false">
      <c r="A19" s="17"/>
      <c r="B19" s="17"/>
      <c r="C19" s="17"/>
      <c r="D19" s="17"/>
      <c r="E19" s="9" t="str">
        <f aca="false">IF(D19="","",IFERROR(INDEX(Insumos!$B$6:$B$105,MATCH(D19,Insumos!$A$6:$A$105,0)),"No existe"))</f>
        <v/>
      </c>
      <c r="F19" s="9" t="str">
        <f aca="false">IF(D19="","",IFERROR(INDEX(Insumos!$C$6:$C$105,MATCH(D19,Insumos!$A$6:$A$105,0)),""))</f>
        <v/>
      </c>
      <c r="G19" s="9" t="str">
        <f aca="false">IF(D19="","",IFERROR(INDEX(Insumos!$D$6:$D$105,MATCH(D19,Insumos!$A$6:$A$105,0)),""))</f>
        <v/>
      </c>
      <c r="H19" s="22"/>
      <c r="I19" s="23" t="str">
        <f aca="false">IF(D19="","",IFERROR(INDEX(Insumos!$E$6:$E$105,MATCH(D19,Insumos!$A$6:$A$105,0)),0))</f>
        <v/>
      </c>
      <c r="J19" s="23" t="str">
        <f aca="false">IF(OR(D19="",H19=""),"",H19*I19)</f>
        <v/>
      </c>
    </row>
    <row r="20" customFormat="false" ht="15" hidden="false" customHeight="false" outlineLevel="0" collapsed="false">
      <c r="A20" s="17"/>
      <c r="B20" s="17"/>
      <c r="C20" s="17"/>
      <c r="D20" s="17"/>
      <c r="E20" s="9" t="str">
        <f aca="false">IF(D20="","",IFERROR(INDEX(Insumos!$B$6:$B$105,MATCH(D20,Insumos!$A$6:$A$105,0)),"No existe"))</f>
        <v/>
      </c>
      <c r="F20" s="9" t="str">
        <f aca="false">IF(D20="","",IFERROR(INDEX(Insumos!$C$6:$C$105,MATCH(D20,Insumos!$A$6:$A$105,0)),""))</f>
        <v/>
      </c>
      <c r="G20" s="9" t="str">
        <f aca="false">IF(D20="","",IFERROR(INDEX(Insumos!$D$6:$D$105,MATCH(D20,Insumos!$A$6:$A$105,0)),""))</f>
        <v/>
      </c>
      <c r="H20" s="22"/>
      <c r="I20" s="23" t="str">
        <f aca="false">IF(D20="","",IFERROR(INDEX(Insumos!$E$6:$E$105,MATCH(D20,Insumos!$A$6:$A$105,0)),0))</f>
        <v/>
      </c>
      <c r="J20" s="23" t="str">
        <f aca="false">IF(OR(D20="",H20=""),"",H20*I20)</f>
        <v/>
      </c>
    </row>
    <row r="21" customFormat="false" ht="15" hidden="false" customHeight="false" outlineLevel="0" collapsed="false">
      <c r="A21" s="17"/>
      <c r="B21" s="17"/>
      <c r="C21" s="17"/>
      <c r="D21" s="17"/>
      <c r="E21" s="9" t="str">
        <f aca="false">IF(D21="","",IFERROR(INDEX(Insumos!$B$6:$B$105,MATCH(D21,Insumos!$A$6:$A$105,0)),"No existe"))</f>
        <v/>
      </c>
      <c r="F21" s="9" t="str">
        <f aca="false">IF(D21="","",IFERROR(INDEX(Insumos!$C$6:$C$105,MATCH(D21,Insumos!$A$6:$A$105,0)),""))</f>
        <v/>
      </c>
      <c r="G21" s="9" t="str">
        <f aca="false">IF(D21="","",IFERROR(INDEX(Insumos!$D$6:$D$105,MATCH(D21,Insumos!$A$6:$A$105,0)),""))</f>
        <v/>
      </c>
      <c r="H21" s="22"/>
      <c r="I21" s="23" t="str">
        <f aca="false">IF(D21="","",IFERROR(INDEX(Insumos!$E$6:$E$105,MATCH(D21,Insumos!$A$6:$A$105,0)),0))</f>
        <v/>
      </c>
      <c r="J21" s="23" t="str">
        <f aca="false">IF(OR(D21="",H21=""),"",H21*I21)</f>
        <v/>
      </c>
    </row>
    <row r="22" customFormat="false" ht="15" hidden="false" customHeight="false" outlineLevel="0" collapsed="false">
      <c r="A22" s="17"/>
      <c r="B22" s="17"/>
      <c r="C22" s="17"/>
      <c r="D22" s="17"/>
      <c r="E22" s="9" t="str">
        <f aca="false">IF(D22="","",IFERROR(INDEX(Insumos!$B$6:$B$105,MATCH(D22,Insumos!$A$6:$A$105,0)),"No existe"))</f>
        <v/>
      </c>
      <c r="F22" s="9" t="str">
        <f aca="false">IF(D22="","",IFERROR(INDEX(Insumos!$C$6:$C$105,MATCH(D22,Insumos!$A$6:$A$105,0)),""))</f>
        <v/>
      </c>
      <c r="G22" s="9" t="str">
        <f aca="false">IF(D22="","",IFERROR(INDEX(Insumos!$D$6:$D$105,MATCH(D22,Insumos!$A$6:$A$105,0)),""))</f>
        <v/>
      </c>
      <c r="H22" s="22"/>
      <c r="I22" s="23" t="str">
        <f aca="false">IF(D22="","",IFERROR(INDEX(Insumos!$E$6:$E$105,MATCH(D22,Insumos!$A$6:$A$105,0)),0))</f>
        <v/>
      </c>
      <c r="J22" s="23" t="str">
        <f aca="false">IF(OR(D22="",H22=""),"",H22*I22)</f>
        <v/>
      </c>
    </row>
    <row r="23" customFormat="false" ht="15" hidden="false" customHeight="false" outlineLevel="0" collapsed="false">
      <c r="A23" s="17"/>
      <c r="B23" s="17"/>
      <c r="C23" s="17"/>
      <c r="D23" s="17"/>
      <c r="E23" s="9" t="str">
        <f aca="false">IF(D23="","",IFERROR(INDEX(Insumos!$B$6:$B$105,MATCH(D23,Insumos!$A$6:$A$105,0)),"No existe"))</f>
        <v/>
      </c>
      <c r="F23" s="9" t="str">
        <f aca="false">IF(D23="","",IFERROR(INDEX(Insumos!$C$6:$C$105,MATCH(D23,Insumos!$A$6:$A$105,0)),""))</f>
        <v/>
      </c>
      <c r="G23" s="9" t="str">
        <f aca="false">IF(D23="","",IFERROR(INDEX(Insumos!$D$6:$D$105,MATCH(D23,Insumos!$A$6:$A$105,0)),""))</f>
        <v/>
      </c>
      <c r="H23" s="22"/>
      <c r="I23" s="23" t="str">
        <f aca="false">IF(D23="","",IFERROR(INDEX(Insumos!$E$6:$E$105,MATCH(D23,Insumos!$A$6:$A$105,0)),0))</f>
        <v/>
      </c>
      <c r="J23" s="23" t="str">
        <f aca="false">IF(OR(D23="",H23=""),"",H23*I23)</f>
        <v/>
      </c>
    </row>
    <row r="24" customFormat="false" ht="15" hidden="false" customHeight="false" outlineLevel="0" collapsed="false">
      <c r="A24" s="17"/>
      <c r="B24" s="17"/>
      <c r="C24" s="17"/>
      <c r="D24" s="17"/>
      <c r="E24" s="9" t="str">
        <f aca="false">IF(D24="","",IFERROR(INDEX(Insumos!$B$6:$B$105,MATCH(D24,Insumos!$A$6:$A$105,0)),"No existe"))</f>
        <v/>
      </c>
      <c r="F24" s="9" t="str">
        <f aca="false">IF(D24="","",IFERROR(INDEX(Insumos!$C$6:$C$105,MATCH(D24,Insumos!$A$6:$A$105,0)),""))</f>
        <v/>
      </c>
      <c r="G24" s="9" t="str">
        <f aca="false">IF(D24="","",IFERROR(INDEX(Insumos!$D$6:$D$105,MATCH(D24,Insumos!$A$6:$A$105,0)),""))</f>
        <v/>
      </c>
      <c r="H24" s="22"/>
      <c r="I24" s="23" t="str">
        <f aca="false">IF(D24="","",IFERROR(INDEX(Insumos!$E$6:$E$105,MATCH(D24,Insumos!$A$6:$A$105,0)),0))</f>
        <v/>
      </c>
      <c r="J24" s="23" t="str">
        <f aca="false">IF(OR(D24="",H24=""),"",H24*I24)</f>
        <v/>
      </c>
    </row>
    <row r="25" customFormat="false" ht="15" hidden="false" customHeight="false" outlineLevel="0" collapsed="false">
      <c r="A25" s="17"/>
      <c r="B25" s="17"/>
      <c r="C25" s="17"/>
      <c r="D25" s="17"/>
      <c r="E25" s="9" t="str">
        <f aca="false">IF(D25="","",IFERROR(INDEX(Insumos!$B$6:$B$105,MATCH(D25,Insumos!$A$6:$A$105,0)),"No existe"))</f>
        <v/>
      </c>
      <c r="F25" s="9" t="str">
        <f aca="false">IF(D25="","",IFERROR(INDEX(Insumos!$C$6:$C$105,MATCH(D25,Insumos!$A$6:$A$105,0)),""))</f>
        <v/>
      </c>
      <c r="G25" s="9" t="str">
        <f aca="false">IF(D25="","",IFERROR(INDEX(Insumos!$D$6:$D$105,MATCH(D25,Insumos!$A$6:$A$105,0)),""))</f>
        <v/>
      </c>
      <c r="H25" s="22"/>
      <c r="I25" s="23" t="str">
        <f aca="false">IF(D25="","",IFERROR(INDEX(Insumos!$E$6:$E$105,MATCH(D25,Insumos!$A$6:$A$105,0)),0))</f>
        <v/>
      </c>
      <c r="J25" s="23" t="str">
        <f aca="false">IF(OR(D25="",H25=""),"",H25*I25)</f>
        <v/>
      </c>
    </row>
    <row r="26" customFormat="false" ht="15" hidden="false" customHeight="false" outlineLevel="0" collapsed="false">
      <c r="A26" s="17"/>
      <c r="B26" s="17"/>
      <c r="C26" s="17"/>
      <c r="D26" s="17"/>
      <c r="E26" s="9" t="str">
        <f aca="false">IF(D26="","",IFERROR(INDEX(Insumos!$B$6:$B$105,MATCH(D26,Insumos!$A$6:$A$105,0)),"No existe"))</f>
        <v/>
      </c>
      <c r="F26" s="9" t="str">
        <f aca="false">IF(D26="","",IFERROR(INDEX(Insumos!$C$6:$C$105,MATCH(D26,Insumos!$A$6:$A$105,0)),""))</f>
        <v/>
      </c>
      <c r="G26" s="9" t="str">
        <f aca="false">IF(D26="","",IFERROR(INDEX(Insumos!$D$6:$D$105,MATCH(D26,Insumos!$A$6:$A$105,0)),""))</f>
        <v/>
      </c>
      <c r="H26" s="22"/>
      <c r="I26" s="23" t="str">
        <f aca="false">IF(D26="","",IFERROR(INDEX(Insumos!$E$6:$E$105,MATCH(D26,Insumos!$A$6:$A$105,0)),0))</f>
        <v/>
      </c>
      <c r="J26" s="23" t="str">
        <f aca="false">IF(OR(D26="",H26=""),"",H26*I26)</f>
        <v/>
      </c>
    </row>
    <row r="27" customFormat="false" ht="15" hidden="false" customHeight="false" outlineLevel="0" collapsed="false">
      <c r="A27" s="17"/>
      <c r="B27" s="17"/>
      <c r="C27" s="17"/>
      <c r="D27" s="17"/>
      <c r="E27" s="9" t="str">
        <f aca="false">IF(D27="","",IFERROR(INDEX(Insumos!$B$6:$B$105,MATCH(D27,Insumos!$A$6:$A$105,0)),"No existe"))</f>
        <v/>
      </c>
      <c r="F27" s="9" t="str">
        <f aca="false">IF(D27="","",IFERROR(INDEX(Insumos!$C$6:$C$105,MATCH(D27,Insumos!$A$6:$A$105,0)),""))</f>
        <v/>
      </c>
      <c r="G27" s="9" t="str">
        <f aca="false">IF(D27="","",IFERROR(INDEX(Insumos!$D$6:$D$105,MATCH(D27,Insumos!$A$6:$A$105,0)),""))</f>
        <v/>
      </c>
      <c r="H27" s="22"/>
      <c r="I27" s="23" t="str">
        <f aca="false">IF(D27="","",IFERROR(INDEX(Insumos!$E$6:$E$105,MATCH(D27,Insumos!$A$6:$A$105,0)),0))</f>
        <v/>
      </c>
      <c r="J27" s="23" t="str">
        <f aca="false">IF(OR(D27="",H27=""),"",H27*I27)</f>
        <v/>
      </c>
    </row>
    <row r="28" customFormat="false" ht="15" hidden="false" customHeight="false" outlineLevel="0" collapsed="false">
      <c r="A28" s="17"/>
      <c r="B28" s="17"/>
      <c r="C28" s="17"/>
      <c r="D28" s="17"/>
      <c r="E28" s="9" t="str">
        <f aca="false">IF(D28="","",IFERROR(INDEX(Insumos!$B$6:$B$105,MATCH(D28,Insumos!$A$6:$A$105,0)),"No existe"))</f>
        <v/>
      </c>
      <c r="F28" s="9" t="str">
        <f aca="false">IF(D28="","",IFERROR(INDEX(Insumos!$C$6:$C$105,MATCH(D28,Insumos!$A$6:$A$105,0)),""))</f>
        <v/>
      </c>
      <c r="G28" s="9" t="str">
        <f aca="false">IF(D28="","",IFERROR(INDEX(Insumos!$D$6:$D$105,MATCH(D28,Insumos!$A$6:$A$105,0)),""))</f>
        <v/>
      </c>
      <c r="H28" s="22"/>
      <c r="I28" s="23" t="str">
        <f aca="false">IF(D28="","",IFERROR(INDEX(Insumos!$E$6:$E$105,MATCH(D28,Insumos!$A$6:$A$105,0)),0))</f>
        <v/>
      </c>
      <c r="J28" s="23" t="str">
        <f aca="false">IF(OR(D28="",H28=""),"",H28*I28)</f>
        <v/>
      </c>
    </row>
    <row r="29" customFormat="false" ht="15" hidden="false" customHeight="false" outlineLevel="0" collapsed="false">
      <c r="A29" s="17"/>
      <c r="B29" s="17"/>
      <c r="C29" s="17"/>
      <c r="D29" s="17"/>
      <c r="E29" s="9" t="str">
        <f aca="false">IF(D29="","",IFERROR(INDEX(Insumos!$B$6:$B$105,MATCH(D29,Insumos!$A$6:$A$105,0)),"No existe"))</f>
        <v/>
      </c>
      <c r="F29" s="9" t="str">
        <f aca="false">IF(D29="","",IFERROR(INDEX(Insumos!$C$6:$C$105,MATCH(D29,Insumos!$A$6:$A$105,0)),""))</f>
        <v/>
      </c>
      <c r="G29" s="9" t="str">
        <f aca="false">IF(D29="","",IFERROR(INDEX(Insumos!$D$6:$D$105,MATCH(D29,Insumos!$A$6:$A$105,0)),""))</f>
        <v/>
      </c>
      <c r="H29" s="22"/>
      <c r="I29" s="23" t="str">
        <f aca="false">IF(D29="","",IFERROR(INDEX(Insumos!$E$6:$E$105,MATCH(D29,Insumos!$A$6:$A$105,0)),0))</f>
        <v/>
      </c>
      <c r="J29" s="23" t="str">
        <f aca="false">IF(OR(D29="",H29=""),"",H29*I29)</f>
        <v/>
      </c>
    </row>
    <row r="30" customFormat="false" ht="15" hidden="false" customHeight="false" outlineLevel="0" collapsed="false">
      <c r="A30" s="17"/>
      <c r="B30" s="17"/>
      <c r="C30" s="17"/>
      <c r="D30" s="17"/>
      <c r="E30" s="9" t="str">
        <f aca="false">IF(D30="","",IFERROR(INDEX(Insumos!$B$6:$B$105,MATCH(D30,Insumos!$A$6:$A$105,0)),"No existe"))</f>
        <v/>
      </c>
      <c r="F30" s="9" t="str">
        <f aca="false">IF(D30="","",IFERROR(INDEX(Insumos!$C$6:$C$105,MATCH(D30,Insumos!$A$6:$A$105,0)),""))</f>
        <v/>
      </c>
      <c r="G30" s="9" t="str">
        <f aca="false">IF(D30="","",IFERROR(INDEX(Insumos!$D$6:$D$105,MATCH(D30,Insumos!$A$6:$A$105,0)),""))</f>
        <v/>
      </c>
      <c r="H30" s="22"/>
      <c r="I30" s="23" t="str">
        <f aca="false">IF(D30="","",IFERROR(INDEX(Insumos!$E$6:$E$105,MATCH(D30,Insumos!$A$6:$A$105,0)),0))</f>
        <v/>
      </c>
      <c r="J30" s="23" t="str">
        <f aca="false">IF(OR(D30="",H30=""),"",H30*I30)</f>
        <v/>
      </c>
    </row>
    <row r="31" customFormat="false" ht="15" hidden="false" customHeight="false" outlineLevel="0" collapsed="false">
      <c r="A31" s="17"/>
      <c r="B31" s="17"/>
      <c r="C31" s="17"/>
      <c r="D31" s="17"/>
      <c r="E31" s="9" t="str">
        <f aca="false">IF(D31="","",IFERROR(INDEX(Insumos!$B$6:$B$105,MATCH(D31,Insumos!$A$6:$A$105,0)),"No existe"))</f>
        <v/>
      </c>
      <c r="F31" s="9" t="str">
        <f aca="false">IF(D31="","",IFERROR(INDEX(Insumos!$C$6:$C$105,MATCH(D31,Insumos!$A$6:$A$105,0)),""))</f>
        <v/>
      </c>
      <c r="G31" s="9" t="str">
        <f aca="false">IF(D31="","",IFERROR(INDEX(Insumos!$D$6:$D$105,MATCH(D31,Insumos!$A$6:$A$105,0)),""))</f>
        <v/>
      </c>
      <c r="H31" s="22"/>
      <c r="I31" s="23" t="str">
        <f aca="false">IF(D31="","",IFERROR(INDEX(Insumos!$E$6:$E$105,MATCH(D31,Insumos!$A$6:$A$105,0)),0))</f>
        <v/>
      </c>
      <c r="J31" s="23" t="str">
        <f aca="false">IF(OR(D31="",H31=""),"",H31*I31)</f>
        <v/>
      </c>
    </row>
    <row r="32" customFormat="false" ht="15" hidden="false" customHeight="false" outlineLevel="0" collapsed="false">
      <c r="A32" s="17"/>
      <c r="B32" s="17"/>
      <c r="C32" s="17"/>
      <c r="D32" s="17"/>
      <c r="E32" s="9" t="str">
        <f aca="false">IF(D32="","",IFERROR(INDEX(Insumos!$B$6:$B$105,MATCH(D32,Insumos!$A$6:$A$105,0)),"No existe"))</f>
        <v/>
      </c>
      <c r="F32" s="9" t="str">
        <f aca="false">IF(D32="","",IFERROR(INDEX(Insumos!$C$6:$C$105,MATCH(D32,Insumos!$A$6:$A$105,0)),""))</f>
        <v/>
      </c>
      <c r="G32" s="9" t="str">
        <f aca="false">IF(D32="","",IFERROR(INDEX(Insumos!$D$6:$D$105,MATCH(D32,Insumos!$A$6:$A$105,0)),""))</f>
        <v/>
      </c>
      <c r="H32" s="22"/>
      <c r="I32" s="23" t="str">
        <f aca="false">IF(D32="","",IFERROR(INDEX(Insumos!$E$6:$E$105,MATCH(D32,Insumos!$A$6:$A$105,0)),0))</f>
        <v/>
      </c>
      <c r="J32" s="23" t="str">
        <f aca="false">IF(OR(D32="",H32=""),"",H32*I32)</f>
        <v/>
      </c>
    </row>
    <row r="33" customFormat="false" ht="15" hidden="false" customHeight="false" outlineLevel="0" collapsed="false">
      <c r="A33" s="17"/>
      <c r="B33" s="17"/>
      <c r="C33" s="17"/>
      <c r="D33" s="17"/>
      <c r="E33" s="9" t="str">
        <f aca="false">IF(D33="","",IFERROR(INDEX(Insumos!$B$6:$B$105,MATCH(D33,Insumos!$A$6:$A$105,0)),"No existe"))</f>
        <v/>
      </c>
      <c r="F33" s="9" t="str">
        <f aca="false">IF(D33="","",IFERROR(INDEX(Insumos!$C$6:$C$105,MATCH(D33,Insumos!$A$6:$A$105,0)),""))</f>
        <v/>
      </c>
      <c r="G33" s="9" t="str">
        <f aca="false">IF(D33="","",IFERROR(INDEX(Insumos!$D$6:$D$105,MATCH(D33,Insumos!$A$6:$A$105,0)),""))</f>
        <v/>
      </c>
      <c r="H33" s="22"/>
      <c r="I33" s="23" t="str">
        <f aca="false">IF(D33="","",IFERROR(INDEX(Insumos!$E$6:$E$105,MATCH(D33,Insumos!$A$6:$A$105,0)),0))</f>
        <v/>
      </c>
      <c r="J33" s="23" t="str">
        <f aca="false">IF(OR(D33="",H33=""),"",H33*I33)</f>
        <v/>
      </c>
    </row>
    <row r="34" customFormat="false" ht="15" hidden="false" customHeight="false" outlineLevel="0" collapsed="false">
      <c r="A34" s="17"/>
      <c r="B34" s="17"/>
      <c r="C34" s="17"/>
      <c r="D34" s="17"/>
      <c r="E34" s="9" t="str">
        <f aca="false">IF(D34="","",IFERROR(INDEX(Insumos!$B$6:$B$105,MATCH(D34,Insumos!$A$6:$A$105,0)),"No existe"))</f>
        <v/>
      </c>
      <c r="F34" s="9" t="str">
        <f aca="false">IF(D34="","",IFERROR(INDEX(Insumos!$C$6:$C$105,MATCH(D34,Insumos!$A$6:$A$105,0)),""))</f>
        <v/>
      </c>
      <c r="G34" s="9" t="str">
        <f aca="false">IF(D34="","",IFERROR(INDEX(Insumos!$D$6:$D$105,MATCH(D34,Insumos!$A$6:$A$105,0)),""))</f>
        <v/>
      </c>
      <c r="H34" s="22"/>
      <c r="I34" s="23" t="str">
        <f aca="false">IF(D34="","",IFERROR(INDEX(Insumos!$E$6:$E$105,MATCH(D34,Insumos!$A$6:$A$105,0)),0))</f>
        <v/>
      </c>
      <c r="J34" s="23" t="str">
        <f aca="false">IF(OR(D34="",H34=""),"",H34*I34)</f>
        <v/>
      </c>
    </row>
    <row r="35" customFormat="false" ht="15" hidden="false" customHeight="false" outlineLevel="0" collapsed="false">
      <c r="A35" s="17"/>
      <c r="B35" s="17"/>
      <c r="C35" s="17"/>
      <c r="D35" s="17"/>
      <c r="E35" s="9" t="str">
        <f aca="false">IF(D35="","",IFERROR(INDEX(Insumos!$B$6:$B$105,MATCH(D35,Insumos!$A$6:$A$105,0)),"No existe"))</f>
        <v/>
      </c>
      <c r="F35" s="9" t="str">
        <f aca="false">IF(D35="","",IFERROR(INDEX(Insumos!$C$6:$C$105,MATCH(D35,Insumos!$A$6:$A$105,0)),""))</f>
        <v/>
      </c>
      <c r="G35" s="9" t="str">
        <f aca="false">IF(D35="","",IFERROR(INDEX(Insumos!$D$6:$D$105,MATCH(D35,Insumos!$A$6:$A$105,0)),""))</f>
        <v/>
      </c>
      <c r="H35" s="22"/>
      <c r="I35" s="23" t="str">
        <f aca="false">IF(D35="","",IFERROR(INDEX(Insumos!$E$6:$E$105,MATCH(D35,Insumos!$A$6:$A$105,0)),0))</f>
        <v/>
      </c>
      <c r="J35" s="23" t="str">
        <f aca="false">IF(OR(D35="",H35=""),"",H35*I35)</f>
        <v/>
      </c>
    </row>
    <row r="36" customFormat="false" ht="15" hidden="false" customHeight="false" outlineLevel="0" collapsed="false">
      <c r="A36" s="17"/>
      <c r="B36" s="17"/>
      <c r="C36" s="17"/>
      <c r="D36" s="17"/>
      <c r="E36" s="9" t="str">
        <f aca="false">IF(D36="","",IFERROR(INDEX(Insumos!$B$6:$B$105,MATCH(D36,Insumos!$A$6:$A$105,0)),"No existe"))</f>
        <v/>
      </c>
      <c r="F36" s="9" t="str">
        <f aca="false">IF(D36="","",IFERROR(INDEX(Insumos!$C$6:$C$105,MATCH(D36,Insumos!$A$6:$A$105,0)),""))</f>
        <v/>
      </c>
      <c r="G36" s="9" t="str">
        <f aca="false">IF(D36="","",IFERROR(INDEX(Insumos!$D$6:$D$105,MATCH(D36,Insumos!$A$6:$A$105,0)),""))</f>
        <v/>
      </c>
      <c r="H36" s="22"/>
      <c r="I36" s="23" t="str">
        <f aca="false">IF(D36="","",IFERROR(INDEX(Insumos!$E$6:$E$105,MATCH(D36,Insumos!$A$6:$A$105,0)),0))</f>
        <v/>
      </c>
      <c r="J36" s="23" t="str">
        <f aca="false">IF(OR(D36="",H36=""),"",H36*I36)</f>
        <v/>
      </c>
    </row>
    <row r="37" customFormat="false" ht="15" hidden="false" customHeight="false" outlineLevel="0" collapsed="false">
      <c r="A37" s="17"/>
      <c r="B37" s="17"/>
      <c r="C37" s="17"/>
      <c r="D37" s="17"/>
      <c r="E37" s="9" t="str">
        <f aca="false">IF(D37="","",IFERROR(INDEX(Insumos!$B$6:$B$105,MATCH(D37,Insumos!$A$6:$A$105,0)),"No existe"))</f>
        <v/>
      </c>
      <c r="F37" s="9" t="str">
        <f aca="false">IF(D37="","",IFERROR(INDEX(Insumos!$C$6:$C$105,MATCH(D37,Insumos!$A$6:$A$105,0)),""))</f>
        <v/>
      </c>
      <c r="G37" s="9" t="str">
        <f aca="false">IF(D37="","",IFERROR(INDEX(Insumos!$D$6:$D$105,MATCH(D37,Insumos!$A$6:$A$105,0)),""))</f>
        <v/>
      </c>
      <c r="H37" s="22"/>
      <c r="I37" s="23" t="str">
        <f aca="false">IF(D37="","",IFERROR(INDEX(Insumos!$E$6:$E$105,MATCH(D37,Insumos!$A$6:$A$105,0)),0))</f>
        <v/>
      </c>
      <c r="J37" s="23" t="str">
        <f aca="false">IF(OR(D37="",H37=""),"",H37*I37)</f>
        <v/>
      </c>
    </row>
    <row r="38" customFormat="false" ht="15" hidden="false" customHeight="false" outlineLevel="0" collapsed="false">
      <c r="A38" s="17"/>
      <c r="B38" s="17"/>
      <c r="C38" s="17"/>
      <c r="D38" s="17"/>
      <c r="E38" s="9" t="str">
        <f aca="false">IF(D38="","",IFERROR(INDEX(Insumos!$B$6:$B$105,MATCH(D38,Insumos!$A$6:$A$105,0)),"No existe"))</f>
        <v/>
      </c>
      <c r="F38" s="9" t="str">
        <f aca="false">IF(D38="","",IFERROR(INDEX(Insumos!$C$6:$C$105,MATCH(D38,Insumos!$A$6:$A$105,0)),""))</f>
        <v/>
      </c>
      <c r="G38" s="9" t="str">
        <f aca="false">IF(D38="","",IFERROR(INDEX(Insumos!$D$6:$D$105,MATCH(D38,Insumos!$A$6:$A$105,0)),""))</f>
        <v/>
      </c>
      <c r="H38" s="22"/>
      <c r="I38" s="23" t="str">
        <f aca="false">IF(D38="","",IFERROR(INDEX(Insumos!$E$6:$E$105,MATCH(D38,Insumos!$A$6:$A$105,0)),0))</f>
        <v/>
      </c>
      <c r="J38" s="23" t="str">
        <f aca="false">IF(OR(D38="",H38=""),"",H38*I38)</f>
        <v/>
      </c>
    </row>
    <row r="39" customFormat="false" ht="15" hidden="false" customHeight="false" outlineLevel="0" collapsed="false">
      <c r="A39" s="17"/>
      <c r="B39" s="17"/>
      <c r="C39" s="17"/>
      <c r="D39" s="17"/>
      <c r="E39" s="9" t="str">
        <f aca="false">IF(D39="","",IFERROR(INDEX(Insumos!$B$6:$B$105,MATCH(D39,Insumos!$A$6:$A$105,0)),"No existe"))</f>
        <v/>
      </c>
      <c r="F39" s="9" t="str">
        <f aca="false">IF(D39="","",IFERROR(INDEX(Insumos!$C$6:$C$105,MATCH(D39,Insumos!$A$6:$A$105,0)),""))</f>
        <v/>
      </c>
      <c r="G39" s="9" t="str">
        <f aca="false">IF(D39="","",IFERROR(INDEX(Insumos!$D$6:$D$105,MATCH(D39,Insumos!$A$6:$A$105,0)),""))</f>
        <v/>
      </c>
      <c r="H39" s="22"/>
      <c r="I39" s="23" t="str">
        <f aca="false">IF(D39="","",IFERROR(INDEX(Insumos!$E$6:$E$105,MATCH(D39,Insumos!$A$6:$A$105,0)),0))</f>
        <v/>
      </c>
      <c r="J39" s="23" t="str">
        <f aca="false">IF(OR(D39="",H39=""),"",H39*I39)</f>
        <v/>
      </c>
    </row>
    <row r="40" customFormat="false" ht="15" hidden="false" customHeight="false" outlineLevel="0" collapsed="false">
      <c r="A40" s="17"/>
      <c r="B40" s="17"/>
      <c r="C40" s="17"/>
      <c r="D40" s="17"/>
      <c r="E40" s="9" t="str">
        <f aca="false">IF(D40="","",IFERROR(INDEX(Insumos!$B$6:$B$105,MATCH(D40,Insumos!$A$6:$A$105,0)),"No existe"))</f>
        <v/>
      </c>
      <c r="F40" s="9" t="str">
        <f aca="false">IF(D40="","",IFERROR(INDEX(Insumos!$C$6:$C$105,MATCH(D40,Insumos!$A$6:$A$105,0)),""))</f>
        <v/>
      </c>
      <c r="G40" s="9" t="str">
        <f aca="false">IF(D40="","",IFERROR(INDEX(Insumos!$D$6:$D$105,MATCH(D40,Insumos!$A$6:$A$105,0)),""))</f>
        <v/>
      </c>
      <c r="H40" s="22"/>
      <c r="I40" s="23" t="str">
        <f aca="false">IF(D40="","",IFERROR(INDEX(Insumos!$E$6:$E$105,MATCH(D40,Insumos!$A$6:$A$105,0)),0))</f>
        <v/>
      </c>
      <c r="J40" s="23" t="str">
        <f aca="false">IF(OR(D40="",H40=""),"",H40*I40)</f>
        <v/>
      </c>
    </row>
    <row r="41" customFormat="false" ht="15" hidden="false" customHeight="false" outlineLevel="0" collapsed="false">
      <c r="A41" s="17"/>
      <c r="B41" s="17"/>
      <c r="C41" s="17"/>
      <c r="D41" s="17"/>
      <c r="E41" s="9" t="str">
        <f aca="false">IF(D41="","",IFERROR(INDEX(Insumos!$B$6:$B$105,MATCH(D41,Insumos!$A$6:$A$105,0)),"No existe"))</f>
        <v/>
      </c>
      <c r="F41" s="9" t="str">
        <f aca="false">IF(D41="","",IFERROR(INDEX(Insumos!$C$6:$C$105,MATCH(D41,Insumos!$A$6:$A$105,0)),""))</f>
        <v/>
      </c>
      <c r="G41" s="9" t="str">
        <f aca="false">IF(D41="","",IFERROR(INDEX(Insumos!$D$6:$D$105,MATCH(D41,Insumos!$A$6:$A$105,0)),""))</f>
        <v/>
      </c>
      <c r="H41" s="22"/>
      <c r="I41" s="23" t="str">
        <f aca="false">IF(D41="","",IFERROR(INDEX(Insumos!$E$6:$E$105,MATCH(D41,Insumos!$A$6:$A$105,0)),0))</f>
        <v/>
      </c>
      <c r="J41" s="23" t="str">
        <f aca="false">IF(OR(D41="",H41=""),"",H41*I41)</f>
        <v/>
      </c>
    </row>
    <row r="42" customFormat="false" ht="15" hidden="false" customHeight="false" outlineLevel="0" collapsed="false">
      <c r="A42" s="17"/>
      <c r="B42" s="17"/>
      <c r="C42" s="17"/>
      <c r="D42" s="17"/>
      <c r="E42" s="9" t="str">
        <f aca="false">IF(D42="","",IFERROR(INDEX(Insumos!$B$6:$B$105,MATCH(D42,Insumos!$A$6:$A$105,0)),"No existe"))</f>
        <v/>
      </c>
      <c r="F42" s="9" t="str">
        <f aca="false">IF(D42="","",IFERROR(INDEX(Insumos!$C$6:$C$105,MATCH(D42,Insumos!$A$6:$A$105,0)),""))</f>
        <v/>
      </c>
      <c r="G42" s="9" t="str">
        <f aca="false">IF(D42="","",IFERROR(INDEX(Insumos!$D$6:$D$105,MATCH(D42,Insumos!$A$6:$A$105,0)),""))</f>
        <v/>
      </c>
      <c r="H42" s="22"/>
      <c r="I42" s="23" t="str">
        <f aca="false">IF(D42="","",IFERROR(INDEX(Insumos!$E$6:$E$105,MATCH(D42,Insumos!$A$6:$A$105,0)),0))</f>
        <v/>
      </c>
      <c r="J42" s="23" t="str">
        <f aca="false">IF(OR(D42="",H42=""),"",H42*I42)</f>
        <v/>
      </c>
    </row>
    <row r="43" customFormat="false" ht="15" hidden="false" customHeight="false" outlineLevel="0" collapsed="false">
      <c r="A43" s="17"/>
      <c r="B43" s="17"/>
      <c r="C43" s="17"/>
      <c r="D43" s="17"/>
      <c r="E43" s="9" t="str">
        <f aca="false">IF(D43="","",IFERROR(INDEX(Insumos!$B$6:$B$105,MATCH(D43,Insumos!$A$6:$A$105,0)),"No existe"))</f>
        <v/>
      </c>
      <c r="F43" s="9" t="str">
        <f aca="false">IF(D43="","",IFERROR(INDEX(Insumos!$C$6:$C$105,MATCH(D43,Insumos!$A$6:$A$105,0)),""))</f>
        <v/>
      </c>
      <c r="G43" s="9" t="str">
        <f aca="false">IF(D43="","",IFERROR(INDEX(Insumos!$D$6:$D$105,MATCH(D43,Insumos!$A$6:$A$105,0)),""))</f>
        <v/>
      </c>
      <c r="H43" s="22"/>
      <c r="I43" s="23" t="str">
        <f aca="false">IF(D43="","",IFERROR(INDEX(Insumos!$E$6:$E$105,MATCH(D43,Insumos!$A$6:$A$105,0)),0))</f>
        <v/>
      </c>
      <c r="J43" s="23" t="str">
        <f aca="false">IF(OR(D43="",H43=""),"",H43*I43)</f>
        <v/>
      </c>
    </row>
    <row r="44" customFormat="false" ht="15" hidden="false" customHeight="false" outlineLevel="0" collapsed="false">
      <c r="A44" s="17"/>
      <c r="B44" s="17"/>
      <c r="C44" s="17"/>
      <c r="D44" s="17"/>
      <c r="E44" s="9" t="str">
        <f aca="false">IF(D44="","",IFERROR(INDEX(Insumos!$B$6:$B$105,MATCH(D44,Insumos!$A$6:$A$105,0)),"No existe"))</f>
        <v/>
      </c>
      <c r="F44" s="9" t="str">
        <f aca="false">IF(D44="","",IFERROR(INDEX(Insumos!$C$6:$C$105,MATCH(D44,Insumos!$A$6:$A$105,0)),""))</f>
        <v/>
      </c>
      <c r="G44" s="9" t="str">
        <f aca="false">IF(D44="","",IFERROR(INDEX(Insumos!$D$6:$D$105,MATCH(D44,Insumos!$A$6:$A$105,0)),""))</f>
        <v/>
      </c>
      <c r="H44" s="22"/>
      <c r="I44" s="23" t="str">
        <f aca="false">IF(D44="","",IFERROR(INDEX(Insumos!$E$6:$E$105,MATCH(D44,Insumos!$A$6:$A$105,0)),0))</f>
        <v/>
      </c>
      <c r="J44" s="23" t="str">
        <f aca="false">IF(OR(D44="",H44=""),"",H44*I44)</f>
        <v/>
      </c>
    </row>
    <row r="45" customFormat="false" ht="15" hidden="false" customHeight="false" outlineLevel="0" collapsed="false">
      <c r="A45" s="17"/>
      <c r="B45" s="17"/>
      <c r="C45" s="17"/>
      <c r="D45" s="17"/>
      <c r="E45" s="9" t="str">
        <f aca="false">IF(D45="","",IFERROR(INDEX(Insumos!$B$6:$B$105,MATCH(D45,Insumos!$A$6:$A$105,0)),"No existe"))</f>
        <v/>
      </c>
      <c r="F45" s="9" t="str">
        <f aca="false">IF(D45="","",IFERROR(INDEX(Insumos!$C$6:$C$105,MATCH(D45,Insumos!$A$6:$A$105,0)),""))</f>
        <v/>
      </c>
      <c r="G45" s="9" t="str">
        <f aca="false">IF(D45="","",IFERROR(INDEX(Insumos!$D$6:$D$105,MATCH(D45,Insumos!$A$6:$A$105,0)),""))</f>
        <v/>
      </c>
      <c r="H45" s="22"/>
      <c r="I45" s="23" t="str">
        <f aca="false">IF(D45="","",IFERROR(INDEX(Insumos!$E$6:$E$105,MATCH(D45,Insumos!$A$6:$A$105,0)),0))</f>
        <v/>
      </c>
      <c r="J45" s="23" t="str">
        <f aca="false">IF(OR(D45="",H45=""),"",H45*I45)</f>
        <v/>
      </c>
    </row>
    <row r="46" customFormat="false" ht="15" hidden="false" customHeight="false" outlineLevel="0" collapsed="false">
      <c r="A46" s="17"/>
      <c r="B46" s="17"/>
      <c r="C46" s="17"/>
      <c r="D46" s="17"/>
      <c r="E46" s="9" t="str">
        <f aca="false">IF(D46="","",IFERROR(INDEX(Insumos!$B$6:$B$105,MATCH(D46,Insumos!$A$6:$A$105,0)),"No existe"))</f>
        <v/>
      </c>
      <c r="F46" s="9" t="str">
        <f aca="false">IF(D46="","",IFERROR(INDEX(Insumos!$C$6:$C$105,MATCH(D46,Insumos!$A$6:$A$105,0)),""))</f>
        <v/>
      </c>
      <c r="G46" s="9" t="str">
        <f aca="false">IF(D46="","",IFERROR(INDEX(Insumos!$D$6:$D$105,MATCH(D46,Insumos!$A$6:$A$105,0)),""))</f>
        <v/>
      </c>
      <c r="H46" s="22"/>
      <c r="I46" s="23" t="str">
        <f aca="false">IF(D46="","",IFERROR(INDEX(Insumos!$E$6:$E$105,MATCH(D46,Insumos!$A$6:$A$105,0)),0))</f>
        <v/>
      </c>
      <c r="J46" s="23" t="str">
        <f aca="false">IF(OR(D46="",H46=""),"",H46*I46)</f>
        <v/>
      </c>
    </row>
    <row r="47" customFormat="false" ht="15" hidden="false" customHeight="false" outlineLevel="0" collapsed="false">
      <c r="A47" s="17"/>
      <c r="B47" s="17"/>
      <c r="C47" s="17"/>
      <c r="D47" s="17"/>
      <c r="E47" s="9" t="str">
        <f aca="false">IF(D47="","",IFERROR(INDEX(Insumos!$B$6:$B$105,MATCH(D47,Insumos!$A$6:$A$105,0)),"No existe"))</f>
        <v/>
      </c>
      <c r="F47" s="9" t="str">
        <f aca="false">IF(D47="","",IFERROR(INDEX(Insumos!$C$6:$C$105,MATCH(D47,Insumos!$A$6:$A$105,0)),""))</f>
        <v/>
      </c>
      <c r="G47" s="9" t="str">
        <f aca="false">IF(D47="","",IFERROR(INDEX(Insumos!$D$6:$D$105,MATCH(D47,Insumos!$A$6:$A$105,0)),""))</f>
        <v/>
      </c>
      <c r="H47" s="22"/>
      <c r="I47" s="23" t="str">
        <f aca="false">IF(D47="","",IFERROR(INDEX(Insumos!$E$6:$E$105,MATCH(D47,Insumos!$A$6:$A$105,0)),0))</f>
        <v/>
      </c>
      <c r="J47" s="23" t="str">
        <f aca="false">IF(OR(D47="",H47=""),"",H47*I47)</f>
        <v/>
      </c>
    </row>
    <row r="48" customFormat="false" ht="15" hidden="false" customHeight="false" outlineLevel="0" collapsed="false">
      <c r="A48" s="17"/>
      <c r="B48" s="17"/>
      <c r="C48" s="17"/>
      <c r="D48" s="17"/>
      <c r="E48" s="9" t="str">
        <f aca="false">IF(D48="","",IFERROR(INDEX(Insumos!$B$6:$B$105,MATCH(D48,Insumos!$A$6:$A$105,0)),"No existe"))</f>
        <v/>
      </c>
      <c r="F48" s="9" t="str">
        <f aca="false">IF(D48="","",IFERROR(INDEX(Insumos!$C$6:$C$105,MATCH(D48,Insumos!$A$6:$A$105,0)),""))</f>
        <v/>
      </c>
      <c r="G48" s="9" t="str">
        <f aca="false">IF(D48="","",IFERROR(INDEX(Insumos!$D$6:$D$105,MATCH(D48,Insumos!$A$6:$A$105,0)),""))</f>
        <v/>
      </c>
      <c r="H48" s="22"/>
      <c r="I48" s="23" t="str">
        <f aca="false">IF(D48="","",IFERROR(INDEX(Insumos!$E$6:$E$105,MATCH(D48,Insumos!$A$6:$A$105,0)),0))</f>
        <v/>
      </c>
      <c r="J48" s="23" t="str">
        <f aca="false">IF(OR(D48="",H48=""),"",H48*I48)</f>
        <v/>
      </c>
    </row>
    <row r="49" customFormat="false" ht="15" hidden="false" customHeight="false" outlineLevel="0" collapsed="false">
      <c r="A49" s="17"/>
      <c r="B49" s="17"/>
      <c r="C49" s="17"/>
      <c r="D49" s="17"/>
      <c r="E49" s="9" t="str">
        <f aca="false">IF(D49="","",IFERROR(INDEX(Insumos!$B$6:$B$105,MATCH(D49,Insumos!$A$6:$A$105,0)),"No existe"))</f>
        <v/>
      </c>
      <c r="F49" s="9" t="str">
        <f aca="false">IF(D49="","",IFERROR(INDEX(Insumos!$C$6:$C$105,MATCH(D49,Insumos!$A$6:$A$105,0)),""))</f>
        <v/>
      </c>
      <c r="G49" s="9" t="str">
        <f aca="false">IF(D49="","",IFERROR(INDEX(Insumos!$D$6:$D$105,MATCH(D49,Insumos!$A$6:$A$105,0)),""))</f>
        <v/>
      </c>
      <c r="H49" s="22"/>
      <c r="I49" s="23" t="str">
        <f aca="false">IF(D49="","",IFERROR(INDEX(Insumos!$E$6:$E$105,MATCH(D49,Insumos!$A$6:$A$105,0)),0))</f>
        <v/>
      </c>
      <c r="J49" s="23" t="str">
        <f aca="false">IF(OR(D49="",H49=""),"",H49*I49)</f>
        <v/>
      </c>
    </row>
    <row r="50" customFormat="false" ht="15" hidden="false" customHeight="false" outlineLevel="0" collapsed="false">
      <c r="A50" s="17"/>
      <c r="B50" s="17"/>
      <c r="C50" s="17"/>
      <c r="D50" s="17"/>
      <c r="E50" s="9" t="str">
        <f aca="false">IF(D50="","",IFERROR(INDEX(Insumos!$B$6:$B$105,MATCH(D50,Insumos!$A$6:$A$105,0)),"No existe"))</f>
        <v/>
      </c>
      <c r="F50" s="9" t="str">
        <f aca="false">IF(D50="","",IFERROR(INDEX(Insumos!$C$6:$C$105,MATCH(D50,Insumos!$A$6:$A$105,0)),""))</f>
        <v/>
      </c>
      <c r="G50" s="9" t="str">
        <f aca="false">IF(D50="","",IFERROR(INDEX(Insumos!$D$6:$D$105,MATCH(D50,Insumos!$A$6:$A$105,0)),""))</f>
        <v/>
      </c>
      <c r="H50" s="22"/>
      <c r="I50" s="23" t="str">
        <f aca="false">IF(D50="","",IFERROR(INDEX(Insumos!$E$6:$E$105,MATCH(D50,Insumos!$A$6:$A$105,0)),0))</f>
        <v/>
      </c>
      <c r="J50" s="23" t="str">
        <f aca="false">IF(OR(D50="",H50=""),"",H50*I50)</f>
        <v/>
      </c>
    </row>
    <row r="51" customFormat="false" ht="15" hidden="false" customHeight="false" outlineLevel="0" collapsed="false">
      <c r="A51" s="17"/>
      <c r="B51" s="17"/>
      <c r="C51" s="17"/>
      <c r="D51" s="17"/>
      <c r="E51" s="9" t="str">
        <f aca="false">IF(D51="","",IFERROR(INDEX(Insumos!$B$6:$B$105,MATCH(D51,Insumos!$A$6:$A$105,0)),"No existe"))</f>
        <v/>
      </c>
      <c r="F51" s="9" t="str">
        <f aca="false">IF(D51="","",IFERROR(INDEX(Insumos!$C$6:$C$105,MATCH(D51,Insumos!$A$6:$A$105,0)),""))</f>
        <v/>
      </c>
      <c r="G51" s="9" t="str">
        <f aca="false">IF(D51="","",IFERROR(INDEX(Insumos!$D$6:$D$105,MATCH(D51,Insumos!$A$6:$A$105,0)),""))</f>
        <v/>
      </c>
      <c r="H51" s="22"/>
      <c r="I51" s="23" t="str">
        <f aca="false">IF(D51="","",IFERROR(INDEX(Insumos!$E$6:$E$105,MATCH(D51,Insumos!$A$6:$A$105,0)),0))</f>
        <v/>
      </c>
      <c r="J51" s="23" t="str">
        <f aca="false">IF(OR(D51="",H51=""),"",H51*I51)</f>
        <v/>
      </c>
    </row>
    <row r="52" customFormat="false" ht="15" hidden="false" customHeight="false" outlineLevel="0" collapsed="false">
      <c r="A52" s="17"/>
      <c r="B52" s="17"/>
      <c r="C52" s="17"/>
      <c r="D52" s="17"/>
      <c r="E52" s="9" t="str">
        <f aca="false">IF(D52="","",IFERROR(INDEX(Insumos!$B$6:$B$105,MATCH(D52,Insumos!$A$6:$A$105,0)),"No existe"))</f>
        <v/>
      </c>
      <c r="F52" s="9" t="str">
        <f aca="false">IF(D52="","",IFERROR(INDEX(Insumos!$C$6:$C$105,MATCH(D52,Insumos!$A$6:$A$105,0)),""))</f>
        <v/>
      </c>
      <c r="G52" s="9" t="str">
        <f aca="false">IF(D52="","",IFERROR(INDEX(Insumos!$D$6:$D$105,MATCH(D52,Insumos!$A$6:$A$105,0)),""))</f>
        <v/>
      </c>
      <c r="H52" s="22"/>
      <c r="I52" s="23" t="str">
        <f aca="false">IF(D52="","",IFERROR(INDEX(Insumos!$E$6:$E$105,MATCH(D52,Insumos!$A$6:$A$105,0)),0))</f>
        <v/>
      </c>
      <c r="J52" s="23" t="str">
        <f aca="false">IF(OR(D52="",H52=""),"",H52*I52)</f>
        <v/>
      </c>
    </row>
    <row r="53" customFormat="false" ht="15" hidden="false" customHeight="false" outlineLevel="0" collapsed="false">
      <c r="A53" s="17"/>
      <c r="B53" s="17"/>
      <c r="C53" s="17"/>
      <c r="D53" s="17"/>
      <c r="E53" s="9" t="str">
        <f aca="false">IF(D53="","",IFERROR(INDEX(Insumos!$B$6:$B$105,MATCH(D53,Insumos!$A$6:$A$105,0)),"No existe"))</f>
        <v/>
      </c>
      <c r="F53" s="9" t="str">
        <f aca="false">IF(D53="","",IFERROR(INDEX(Insumos!$C$6:$C$105,MATCH(D53,Insumos!$A$6:$A$105,0)),""))</f>
        <v/>
      </c>
      <c r="G53" s="9" t="str">
        <f aca="false">IF(D53="","",IFERROR(INDEX(Insumos!$D$6:$D$105,MATCH(D53,Insumos!$A$6:$A$105,0)),""))</f>
        <v/>
      </c>
      <c r="H53" s="22"/>
      <c r="I53" s="23" t="str">
        <f aca="false">IF(D53="","",IFERROR(INDEX(Insumos!$E$6:$E$105,MATCH(D53,Insumos!$A$6:$A$105,0)),0))</f>
        <v/>
      </c>
      <c r="J53" s="23" t="str">
        <f aca="false">IF(OR(D53="",H53=""),"",H53*I53)</f>
        <v/>
      </c>
    </row>
    <row r="54" customFormat="false" ht="15" hidden="false" customHeight="false" outlineLevel="0" collapsed="false">
      <c r="A54" s="17"/>
      <c r="B54" s="17"/>
      <c r="C54" s="17"/>
      <c r="D54" s="17"/>
      <c r="E54" s="9" t="str">
        <f aca="false">IF(D54="","",IFERROR(INDEX(Insumos!$B$6:$B$105,MATCH(D54,Insumos!$A$6:$A$105,0)),"No existe"))</f>
        <v/>
      </c>
      <c r="F54" s="9" t="str">
        <f aca="false">IF(D54="","",IFERROR(INDEX(Insumos!$C$6:$C$105,MATCH(D54,Insumos!$A$6:$A$105,0)),""))</f>
        <v/>
      </c>
      <c r="G54" s="9" t="str">
        <f aca="false">IF(D54="","",IFERROR(INDEX(Insumos!$D$6:$D$105,MATCH(D54,Insumos!$A$6:$A$105,0)),""))</f>
        <v/>
      </c>
      <c r="H54" s="22"/>
      <c r="I54" s="23" t="str">
        <f aca="false">IF(D54="","",IFERROR(INDEX(Insumos!$E$6:$E$105,MATCH(D54,Insumos!$A$6:$A$105,0)),0))</f>
        <v/>
      </c>
      <c r="J54" s="23" t="str">
        <f aca="false">IF(OR(D54="",H54=""),"",H54*I54)</f>
        <v/>
      </c>
    </row>
    <row r="55" customFormat="false" ht="15" hidden="false" customHeight="false" outlineLevel="0" collapsed="false">
      <c r="A55" s="17"/>
      <c r="B55" s="17"/>
      <c r="C55" s="17"/>
      <c r="D55" s="17"/>
      <c r="E55" s="9" t="str">
        <f aca="false">IF(D55="","",IFERROR(INDEX(Insumos!$B$6:$B$105,MATCH(D55,Insumos!$A$6:$A$105,0)),"No existe"))</f>
        <v/>
      </c>
      <c r="F55" s="9" t="str">
        <f aca="false">IF(D55="","",IFERROR(INDEX(Insumos!$C$6:$C$105,MATCH(D55,Insumos!$A$6:$A$105,0)),""))</f>
        <v/>
      </c>
      <c r="G55" s="9" t="str">
        <f aca="false">IF(D55="","",IFERROR(INDEX(Insumos!$D$6:$D$105,MATCH(D55,Insumos!$A$6:$A$105,0)),""))</f>
        <v/>
      </c>
      <c r="H55" s="22"/>
      <c r="I55" s="23" t="str">
        <f aca="false">IF(D55="","",IFERROR(INDEX(Insumos!$E$6:$E$105,MATCH(D55,Insumos!$A$6:$A$105,0)),0))</f>
        <v/>
      </c>
      <c r="J55" s="23" t="str">
        <f aca="false">IF(OR(D55="",H55=""),"",H55*I55)</f>
        <v/>
      </c>
    </row>
    <row r="56" customFormat="false" ht="15" hidden="false" customHeight="false" outlineLevel="0" collapsed="false">
      <c r="A56" s="17"/>
      <c r="B56" s="17"/>
      <c r="C56" s="17"/>
      <c r="D56" s="17"/>
      <c r="E56" s="9" t="str">
        <f aca="false">IF(D56="","",IFERROR(INDEX(Insumos!$B$6:$B$105,MATCH(D56,Insumos!$A$6:$A$105,0)),"No existe"))</f>
        <v/>
      </c>
      <c r="F56" s="9" t="str">
        <f aca="false">IF(D56="","",IFERROR(INDEX(Insumos!$C$6:$C$105,MATCH(D56,Insumos!$A$6:$A$105,0)),""))</f>
        <v/>
      </c>
      <c r="G56" s="9" t="str">
        <f aca="false">IF(D56="","",IFERROR(INDEX(Insumos!$D$6:$D$105,MATCH(D56,Insumos!$A$6:$A$105,0)),""))</f>
        <v/>
      </c>
      <c r="H56" s="22"/>
      <c r="I56" s="23" t="str">
        <f aca="false">IF(D56="","",IFERROR(INDEX(Insumos!$E$6:$E$105,MATCH(D56,Insumos!$A$6:$A$105,0)),0))</f>
        <v/>
      </c>
      <c r="J56" s="23" t="str">
        <f aca="false">IF(OR(D56="",H56=""),"",H56*I56)</f>
        <v/>
      </c>
    </row>
    <row r="57" customFormat="false" ht="15" hidden="false" customHeight="false" outlineLevel="0" collapsed="false">
      <c r="A57" s="17"/>
      <c r="B57" s="17"/>
      <c r="C57" s="17"/>
      <c r="D57" s="17"/>
      <c r="E57" s="9" t="str">
        <f aca="false">IF(D57="","",IFERROR(INDEX(Insumos!$B$6:$B$105,MATCH(D57,Insumos!$A$6:$A$105,0)),"No existe"))</f>
        <v/>
      </c>
      <c r="F57" s="9" t="str">
        <f aca="false">IF(D57="","",IFERROR(INDEX(Insumos!$C$6:$C$105,MATCH(D57,Insumos!$A$6:$A$105,0)),""))</f>
        <v/>
      </c>
      <c r="G57" s="9" t="str">
        <f aca="false">IF(D57="","",IFERROR(INDEX(Insumos!$D$6:$D$105,MATCH(D57,Insumos!$A$6:$A$105,0)),""))</f>
        <v/>
      </c>
      <c r="H57" s="22"/>
      <c r="I57" s="23" t="str">
        <f aca="false">IF(D57="","",IFERROR(INDEX(Insumos!$E$6:$E$105,MATCH(D57,Insumos!$A$6:$A$105,0)),0))</f>
        <v/>
      </c>
      <c r="J57" s="23" t="str">
        <f aca="false">IF(OR(D57="",H57=""),"",H57*I57)</f>
        <v/>
      </c>
    </row>
    <row r="58" customFormat="false" ht="15" hidden="false" customHeight="false" outlineLevel="0" collapsed="false">
      <c r="A58" s="17"/>
      <c r="B58" s="17"/>
      <c r="C58" s="17"/>
      <c r="D58" s="17"/>
      <c r="E58" s="9" t="str">
        <f aca="false">IF(D58="","",IFERROR(INDEX(Insumos!$B$6:$B$105,MATCH(D58,Insumos!$A$6:$A$105,0)),"No existe"))</f>
        <v/>
      </c>
      <c r="F58" s="9" t="str">
        <f aca="false">IF(D58="","",IFERROR(INDEX(Insumos!$C$6:$C$105,MATCH(D58,Insumos!$A$6:$A$105,0)),""))</f>
        <v/>
      </c>
      <c r="G58" s="9" t="str">
        <f aca="false">IF(D58="","",IFERROR(INDEX(Insumos!$D$6:$D$105,MATCH(D58,Insumos!$A$6:$A$105,0)),""))</f>
        <v/>
      </c>
      <c r="H58" s="22"/>
      <c r="I58" s="23" t="str">
        <f aca="false">IF(D58="","",IFERROR(INDEX(Insumos!$E$6:$E$105,MATCH(D58,Insumos!$A$6:$A$105,0)),0))</f>
        <v/>
      </c>
      <c r="J58" s="23" t="str">
        <f aca="false">IF(OR(D58="",H58=""),"",H58*I58)</f>
        <v/>
      </c>
    </row>
    <row r="59" customFormat="false" ht="15" hidden="false" customHeight="false" outlineLevel="0" collapsed="false">
      <c r="A59" s="17"/>
      <c r="B59" s="17"/>
      <c r="C59" s="17"/>
      <c r="D59" s="17"/>
      <c r="E59" s="9" t="str">
        <f aca="false">IF(D59="","",IFERROR(INDEX(Insumos!$B$6:$B$105,MATCH(D59,Insumos!$A$6:$A$105,0)),"No existe"))</f>
        <v/>
      </c>
      <c r="F59" s="9" t="str">
        <f aca="false">IF(D59="","",IFERROR(INDEX(Insumos!$C$6:$C$105,MATCH(D59,Insumos!$A$6:$A$105,0)),""))</f>
        <v/>
      </c>
      <c r="G59" s="9" t="str">
        <f aca="false">IF(D59="","",IFERROR(INDEX(Insumos!$D$6:$D$105,MATCH(D59,Insumos!$A$6:$A$105,0)),""))</f>
        <v/>
      </c>
      <c r="H59" s="22"/>
      <c r="I59" s="23" t="str">
        <f aca="false">IF(D59="","",IFERROR(INDEX(Insumos!$E$6:$E$105,MATCH(D59,Insumos!$A$6:$A$105,0)),0))</f>
        <v/>
      </c>
      <c r="J59" s="23" t="str">
        <f aca="false">IF(OR(D59="",H59=""),"",H59*I59)</f>
        <v/>
      </c>
    </row>
    <row r="60" customFormat="false" ht="15" hidden="false" customHeight="false" outlineLevel="0" collapsed="false">
      <c r="A60" s="17"/>
      <c r="B60" s="17"/>
      <c r="C60" s="17"/>
      <c r="D60" s="17"/>
      <c r="E60" s="9" t="str">
        <f aca="false">IF(D60="","",IFERROR(INDEX(Insumos!$B$6:$B$105,MATCH(D60,Insumos!$A$6:$A$105,0)),"No existe"))</f>
        <v/>
      </c>
      <c r="F60" s="9" t="str">
        <f aca="false">IF(D60="","",IFERROR(INDEX(Insumos!$C$6:$C$105,MATCH(D60,Insumos!$A$6:$A$105,0)),""))</f>
        <v/>
      </c>
      <c r="G60" s="9" t="str">
        <f aca="false">IF(D60="","",IFERROR(INDEX(Insumos!$D$6:$D$105,MATCH(D60,Insumos!$A$6:$A$105,0)),""))</f>
        <v/>
      </c>
      <c r="H60" s="22"/>
      <c r="I60" s="23" t="str">
        <f aca="false">IF(D60="","",IFERROR(INDEX(Insumos!$E$6:$E$105,MATCH(D60,Insumos!$A$6:$A$105,0)),0))</f>
        <v/>
      </c>
      <c r="J60" s="23" t="str">
        <f aca="false">IF(OR(D60="",H60=""),"",H60*I60)</f>
        <v/>
      </c>
    </row>
    <row r="61" customFormat="false" ht="15" hidden="false" customHeight="false" outlineLevel="0" collapsed="false">
      <c r="A61" s="17"/>
      <c r="B61" s="17"/>
      <c r="C61" s="17"/>
      <c r="D61" s="17"/>
      <c r="E61" s="9" t="str">
        <f aca="false">IF(D61="","",IFERROR(INDEX(Insumos!$B$6:$B$105,MATCH(D61,Insumos!$A$6:$A$105,0)),"No existe"))</f>
        <v/>
      </c>
      <c r="F61" s="9" t="str">
        <f aca="false">IF(D61="","",IFERROR(INDEX(Insumos!$C$6:$C$105,MATCH(D61,Insumos!$A$6:$A$105,0)),""))</f>
        <v/>
      </c>
      <c r="G61" s="9" t="str">
        <f aca="false">IF(D61="","",IFERROR(INDEX(Insumos!$D$6:$D$105,MATCH(D61,Insumos!$A$6:$A$105,0)),""))</f>
        <v/>
      </c>
      <c r="H61" s="22"/>
      <c r="I61" s="23" t="str">
        <f aca="false">IF(D61="","",IFERROR(INDEX(Insumos!$E$6:$E$105,MATCH(D61,Insumos!$A$6:$A$105,0)),0))</f>
        <v/>
      </c>
      <c r="J61" s="23" t="str">
        <f aca="false">IF(OR(D61="",H61=""),"",H61*I61)</f>
        <v/>
      </c>
    </row>
    <row r="62" customFormat="false" ht="15" hidden="false" customHeight="false" outlineLevel="0" collapsed="false">
      <c r="A62" s="17"/>
      <c r="B62" s="17"/>
      <c r="C62" s="17"/>
      <c r="D62" s="17"/>
      <c r="E62" s="9" t="str">
        <f aca="false">IF(D62="","",IFERROR(INDEX(Insumos!$B$6:$B$105,MATCH(D62,Insumos!$A$6:$A$105,0)),"No existe"))</f>
        <v/>
      </c>
      <c r="F62" s="9" t="str">
        <f aca="false">IF(D62="","",IFERROR(INDEX(Insumos!$C$6:$C$105,MATCH(D62,Insumos!$A$6:$A$105,0)),""))</f>
        <v/>
      </c>
      <c r="G62" s="9" t="str">
        <f aca="false">IF(D62="","",IFERROR(INDEX(Insumos!$D$6:$D$105,MATCH(D62,Insumos!$A$6:$A$105,0)),""))</f>
        <v/>
      </c>
      <c r="H62" s="22"/>
      <c r="I62" s="23" t="str">
        <f aca="false">IF(D62="","",IFERROR(INDEX(Insumos!$E$6:$E$105,MATCH(D62,Insumos!$A$6:$A$105,0)),0))</f>
        <v/>
      </c>
      <c r="J62" s="23" t="str">
        <f aca="false">IF(OR(D62="",H62=""),"",H62*I62)</f>
        <v/>
      </c>
    </row>
    <row r="63" customFormat="false" ht="15" hidden="false" customHeight="false" outlineLevel="0" collapsed="false">
      <c r="A63" s="17"/>
      <c r="B63" s="17"/>
      <c r="C63" s="17"/>
      <c r="D63" s="17"/>
      <c r="E63" s="9" t="str">
        <f aca="false">IF(D63="","",IFERROR(INDEX(Insumos!$B$6:$B$105,MATCH(D63,Insumos!$A$6:$A$105,0)),"No existe"))</f>
        <v/>
      </c>
      <c r="F63" s="9" t="str">
        <f aca="false">IF(D63="","",IFERROR(INDEX(Insumos!$C$6:$C$105,MATCH(D63,Insumos!$A$6:$A$105,0)),""))</f>
        <v/>
      </c>
      <c r="G63" s="9" t="str">
        <f aca="false">IF(D63="","",IFERROR(INDEX(Insumos!$D$6:$D$105,MATCH(D63,Insumos!$A$6:$A$105,0)),""))</f>
        <v/>
      </c>
      <c r="H63" s="22"/>
      <c r="I63" s="23" t="str">
        <f aca="false">IF(D63="","",IFERROR(INDEX(Insumos!$E$6:$E$105,MATCH(D63,Insumos!$A$6:$A$105,0)),0))</f>
        <v/>
      </c>
      <c r="J63" s="23" t="str">
        <f aca="false">IF(OR(D63="",H63=""),"",H63*I63)</f>
        <v/>
      </c>
    </row>
    <row r="64" customFormat="false" ht="15" hidden="false" customHeight="false" outlineLevel="0" collapsed="false">
      <c r="A64" s="17"/>
      <c r="B64" s="17"/>
      <c r="C64" s="17"/>
      <c r="D64" s="17"/>
      <c r="E64" s="9" t="str">
        <f aca="false">IF(D64="","",IFERROR(INDEX(Insumos!$B$6:$B$105,MATCH(D64,Insumos!$A$6:$A$105,0)),"No existe"))</f>
        <v/>
      </c>
      <c r="F64" s="9" t="str">
        <f aca="false">IF(D64="","",IFERROR(INDEX(Insumos!$C$6:$C$105,MATCH(D64,Insumos!$A$6:$A$105,0)),""))</f>
        <v/>
      </c>
      <c r="G64" s="9" t="str">
        <f aca="false">IF(D64="","",IFERROR(INDEX(Insumos!$D$6:$D$105,MATCH(D64,Insumos!$A$6:$A$105,0)),""))</f>
        <v/>
      </c>
      <c r="H64" s="22"/>
      <c r="I64" s="23" t="str">
        <f aca="false">IF(D64="","",IFERROR(INDEX(Insumos!$E$6:$E$105,MATCH(D64,Insumos!$A$6:$A$105,0)),0))</f>
        <v/>
      </c>
      <c r="J64" s="23" t="str">
        <f aca="false">IF(OR(D64="",H64=""),"",H64*I64)</f>
        <v/>
      </c>
    </row>
    <row r="65" customFormat="false" ht="15" hidden="false" customHeight="false" outlineLevel="0" collapsed="false">
      <c r="A65" s="17"/>
      <c r="B65" s="17"/>
      <c r="C65" s="17"/>
      <c r="D65" s="17"/>
      <c r="E65" s="9" t="str">
        <f aca="false">IF(D65="","",IFERROR(INDEX(Insumos!$B$6:$B$105,MATCH(D65,Insumos!$A$6:$A$105,0)),"No existe"))</f>
        <v/>
      </c>
      <c r="F65" s="9" t="str">
        <f aca="false">IF(D65="","",IFERROR(INDEX(Insumos!$C$6:$C$105,MATCH(D65,Insumos!$A$6:$A$105,0)),""))</f>
        <v/>
      </c>
      <c r="G65" s="9" t="str">
        <f aca="false">IF(D65="","",IFERROR(INDEX(Insumos!$D$6:$D$105,MATCH(D65,Insumos!$A$6:$A$105,0)),""))</f>
        <v/>
      </c>
      <c r="H65" s="22"/>
      <c r="I65" s="23" t="str">
        <f aca="false">IF(D65="","",IFERROR(INDEX(Insumos!$E$6:$E$105,MATCH(D65,Insumos!$A$6:$A$105,0)),0))</f>
        <v/>
      </c>
      <c r="J65" s="23" t="str">
        <f aca="false">IF(OR(D65="",H65=""),"",H65*I65)</f>
        <v/>
      </c>
    </row>
    <row r="66" customFormat="false" ht="15" hidden="false" customHeight="false" outlineLevel="0" collapsed="false">
      <c r="A66" s="17"/>
      <c r="B66" s="17"/>
      <c r="C66" s="17"/>
      <c r="D66" s="17"/>
      <c r="E66" s="9" t="str">
        <f aca="false">IF(D66="","",IFERROR(INDEX(Insumos!$B$6:$B$105,MATCH(D66,Insumos!$A$6:$A$105,0)),"No existe"))</f>
        <v/>
      </c>
      <c r="F66" s="9" t="str">
        <f aca="false">IF(D66="","",IFERROR(INDEX(Insumos!$C$6:$C$105,MATCH(D66,Insumos!$A$6:$A$105,0)),""))</f>
        <v/>
      </c>
      <c r="G66" s="9" t="str">
        <f aca="false">IF(D66="","",IFERROR(INDEX(Insumos!$D$6:$D$105,MATCH(D66,Insumos!$A$6:$A$105,0)),""))</f>
        <v/>
      </c>
      <c r="H66" s="22"/>
      <c r="I66" s="23" t="str">
        <f aca="false">IF(D66="","",IFERROR(INDEX(Insumos!$E$6:$E$105,MATCH(D66,Insumos!$A$6:$A$105,0)),0))</f>
        <v/>
      </c>
      <c r="J66" s="23" t="str">
        <f aca="false">IF(OR(D66="",H66=""),"",H66*I66)</f>
        <v/>
      </c>
    </row>
    <row r="67" customFormat="false" ht="15" hidden="false" customHeight="false" outlineLevel="0" collapsed="false">
      <c r="A67" s="17"/>
      <c r="B67" s="17"/>
      <c r="C67" s="17"/>
      <c r="D67" s="17"/>
      <c r="E67" s="9" t="str">
        <f aca="false">IF(D67="","",IFERROR(INDEX(Insumos!$B$6:$B$105,MATCH(D67,Insumos!$A$6:$A$105,0)),"No existe"))</f>
        <v/>
      </c>
      <c r="F67" s="9" t="str">
        <f aca="false">IF(D67="","",IFERROR(INDEX(Insumos!$C$6:$C$105,MATCH(D67,Insumos!$A$6:$A$105,0)),""))</f>
        <v/>
      </c>
      <c r="G67" s="9" t="str">
        <f aca="false">IF(D67="","",IFERROR(INDEX(Insumos!$D$6:$D$105,MATCH(D67,Insumos!$A$6:$A$105,0)),""))</f>
        <v/>
      </c>
      <c r="H67" s="22"/>
      <c r="I67" s="23" t="str">
        <f aca="false">IF(D67="","",IFERROR(INDEX(Insumos!$E$6:$E$105,MATCH(D67,Insumos!$A$6:$A$105,0)),0))</f>
        <v/>
      </c>
      <c r="J67" s="23" t="str">
        <f aca="false">IF(OR(D67="",H67=""),"",H67*I67)</f>
        <v/>
      </c>
    </row>
    <row r="68" customFormat="false" ht="15" hidden="false" customHeight="false" outlineLevel="0" collapsed="false">
      <c r="A68" s="17"/>
      <c r="B68" s="17"/>
      <c r="C68" s="17"/>
      <c r="D68" s="17"/>
      <c r="E68" s="9" t="str">
        <f aca="false">IF(D68="","",IFERROR(INDEX(Insumos!$B$6:$B$105,MATCH(D68,Insumos!$A$6:$A$105,0)),"No existe"))</f>
        <v/>
      </c>
      <c r="F68" s="9" t="str">
        <f aca="false">IF(D68="","",IFERROR(INDEX(Insumos!$C$6:$C$105,MATCH(D68,Insumos!$A$6:$A$105,0)),""))</f>
        <v/>
      </c>
      <c r="G68" s="9" t="str">
        <f aca="false">IF(D68="","",IFERROR(INDEX(Insumos!$D$6:$D$105,MATCH(D68,Insumos!$A$6:$A$105,0)),""))</f>
        <v/>
      </c>
      <c r="H68" s="22"/>
      <c r="I68" s="23" t="str">
        <f aca="false">IF(D68="","",IFERROR(INDEX(Insumos!$E$6:$E$105,MATCH(D68,Insumos!$A$6:$A$105,0)),0))</f>
        <v/>
      </c>
      <c r="J68" s="23" t="str">
        <f aca="false">IF(OR(D68="",H68=""),"",H68*I68)</f>
        <v/>
      </c>
    </row>
    <row r="69" customFormat="false" ht="15" hidden="false" customHeight="false" outlineLevel="0" collapsed="false">
      <c r="A69" s="17"/>
      <c r="B69" s="17"/>
      <c r="C69" s="17"/>
      <c r="D69" s="17"/>
      <c r="E69" s="9" t="str">
        <f aca="false">IF(D69="","",IFERROR(INDEX(Insumos!$B$6:$B$105,MATCH(D69,Insumos!$A$6:$A$105,0)),"No existe"))</f>
        <v/>
      </c>
      <c r="F69" s="9" t="str">
        <f aca="false">IF(D69="","",IFERROR(INDEX(Insumos!$C$6:$C$105,MATCH(D69,Insumos!$A$6:$A$105,0)),""))</f>
        <v/>
      </c>
      <c r="G69" s="9" t="str">
        <f aca="false">IF(D69="","",IFERROR(INDEX(Insumos!$D$6:$D$105,MATCH(D69,Insumos!$A$6:$A$105,0)),""))</f>
        <v/>
      </c>
      <c r="H69" s="22"/>
      <c r="I69" s="23" t="str">
        <f aca="false">IF(D69="","",IFERROR(INDEX(Insumos!$E$6:$E$105,MATCH(D69,Insumos!$A$6:$A$105,0)),0))</f>
        <v/>
      </c>
      <c r="J69" s="23" t="str">
        <f aca="false">IF(OR(D69="",H69=""),"",H69*I69)</f>
        <v/>
      </c>
    </row>
    <row r="70" customFormat="false" ht="15" hidden="false" customHeight="false" outlineLevel="0" collapsed="false">
      <c r="A70" s="17"/>
      <c r="B70" s="17"/>
      <c r="C70" s="17"/>
      <c r="D70" s="17"/>
      <c r="E70" s="9" t="str">
        <f aca="false">IF(D70="","",IFERROR(INDEX(Insumos!$B$6:$B$105,MATCH(D70,Insumos!$A$6:$A$105,0)),"No existe"))</f>
        <v/>
      </c>
      <c r="F70" s="9" t="str">
        <f aca="false">IF(D70="","",IFERROR(INDEX(Insumos!$C$6:$C$105,MATCH(D70,Insumos!$A$6:$A$105,0)),""))</f>
        <v/>
      </c>
      <c r="G70" s="9" t="str">
        <f aca="false">IF(D70="","",IFERROR(INDEX(Insumos!$D$6:$D$105,MATCH(D70,Insumos!$A$6:$A$105,0)),""))</f>
        <v/>
      </c>
      <c r="H70" s="22"/>
      <c r="I70" s="23" t="str">
        <f aca="false">IF(D70="","",IFERROR(INDEX(Insumos!$E$6:$E$105,MATCH(D70,Insumos!$A$6:$A$105,0)),0))</f>
        <v/>
      </c>
      <c r="J70" s="23" t="str">
        <f aca="false">IF(OR(D70="",H70=""),"",H70*I70)</f>
        <v/>
      </c>
    </row>
    <row r="71" customFormat="false" ht="15" hidden="false" customHeight="false" outlineLevel="0" collapsed="false">
      <c r="A71" s="17"/>
      <c r="B71" s="17"/>
      <c r="C71" s="17"/>
      <c r="D71" s="17"/>
      <c r="E71" s="9" t="str">
        <f aca="false">IF(D71="","",IFERROR(INDEX(Insumos!$B$6:$B$105,MATCH(D71,Insumos!$A$6:$A$105,0)),"No existe"))</f>
        <v/>
      </c>
      <c r="F71" s="9" t="str">
        <f aca="false">IF(D71="","",IFERROR(INDEX(Insumos!$C$6:$C$105,MATCH(D71,Insumos!$A$6:$A$105,0)),""))</f>
        <v/>
      </c>
      <c r="G71" s="9" t="str">
        <f aca="false">IF(D71="","",IFERROR(INDEX(Insumos!$D$6:$D$105,MATCH(D71,Insumos!$A$6:$A$105,0)),""))</f>
        <v/>
      </c>
      <c r="H71" s="22"/>
      <c r="I71" s="23" t="str">
        <f aca="false">IF(D71="","",IFERROR(INDEX(Insumos!$E$6:$E$105,MATCH(D71,Insumos!$A$6:$A$105,0)),0))</f>
        <v/>
      </c>
      <c r="J71" s="23" t="str">
        <f aca="false">IF(OR(D71="",H71=""),"",H71*I71)</f>
        <v/>
      </c>
    </row>
    <row r="72" customFormat="false" ht="15" hidden="false" customHeight="false" outlineLevel="0" collapsed="false">
      <c r="A72" s="17"/>
      <c r="B72" s="17"/>
      <c r="C72" s="17"/>
      <c r="D72" s="17"/>
      <c r="E72" s="9" t="str">
        <f aca="false">IF(D72="","",IFERROR(INDEX(Insumos!$B$6:$B$105,MATCH(D72,Insumos!$A$6:$A$105,0)),"No existe"))</f>
        <v/>
      </c>
      <c r="F72" s="9" t="str">
        <f aca="false">IF(D72="","",IFERROR(INDEX(Insumos!$C$6:$C$105,MATCH(D72,Insumos!$A$6:$A$105,0)),""))</f>
        <v/>
      </c>
      <c r="G72" s="9" t="str">
        <f aca="false">IF(D72="","",IFERROR(INDEX(Insumos!$D$6:$D$105,MATCH(D72,Insumos!$A$6:$A$105,0)),""))</f>
        <v/>
      </c>
      <c r="H72" s="22"/>
      <c r="I72" s="23" t="str">
        <f aca="false">IF(D72="","",IFERROR(INDEX(Insumos!$E$6:$E$105,MATCH(D72,Insumos!$A$6:$A$105,0)),0))</f>
        <v/>
      </c>
      <c r="J72" s="23" t="str">
        <f aca="false">IF(OR(D72="",H72=""),"",H72*I72)</f>
        <v/>
      </c>
    </row>
    <row r="73" customFormat="false" ht="15" hidden="false" customHeight="false" outlineLevel="0" collapsed="false">
      <c r="A73" s="17"/>
      <c r="B73" s="17"/>
      <c r="C73" s="17"/>
      <c r="D73" s="17"/>
      <c r="E73" s="9" t="str">
        <f aca="false">IF(D73="","",IFERROR(INDEX(Insumos!$B$6:$B$105,MATCH(D73,Insumos!$A$6:$A$105,0)),"No existe"))</f>
        <v/>
      </c>
      <c r="F73" s="9" t="str">
        <f aca="false">IF(D73="","",IFERROR(INDEX(Insumos!$C$6:$C$105,MATCH(D73,Insumos!$A$6:$A$105,0)),""))</f>
        <v/>
      </c>
      <c r="G73" s="9" t="str">
        <f aca="false">IF(D73="","",IFERROR(INDEX(Insumos!$D$6:$D$105,MATCH(D73,Insumos!$A$6:$A$105,0)),""))</f>
        <v/>
      </c>
      <c r="H73" s="22"/>
      <c r="I73" s="23" t="str">
        <f aca="false">IF(D73="","",IFERROR(INDEX(Insumos!$E$6:$E$105,MATCH(D73,Insumos!$A$6:$A$105,0)),0))</f>
        <v/>
      </c>
      <c r="J73" s="23" t="str">
        <f aca="false">IF(OR(D73="",H73=""),"",H73*I73)</f>
        <v/>
      </c>
    </row>
    <row r="74" customFormat="false" ht="15" hidden="false" customHeight="false" outlineLevel="0" collapsed="false">
      <c r="A74" s="17"/>
      <c r="B74" s="17"/>
      <c r="C74" s="17"/>
      <c r="D74" s="17"/>
      <c r="E74" s="9" t="str">
        <f aca="false">IF(D74="","",IFERROR(INDEX(Insumos!$B$6:$B$105,MATCH(D74,Insumos!$A$6:$A$105,0)),"No existe"))</f>
        <v/>
      </c>
      <c r="F74" s="9" t="str">
        <f aca="false">IF(D74="","",IFERROR(INDEX(Insumos!$C$6:$C$105,MATCH(D74,Insumos!$A$6:$A$105,0)),""))</f>
        <v/>
      </c>
      <c r="G74" s="9" t="str">
        <f aca="false">IF(D74="","",IFERROR(INDEX(Insumos!$D$6:$D$105,MATCH(D74,Insumos!$A$6:$A$105,0)),""))</f>
        <v/>
      </c>
      <c r="H74" s="22"/>
      <c r="I74" s="23" t="str">
        <f aca="false">IF(D74="","",IFERROR(INDEX(Insumos!$E$6:$E$105,MATCH(D74,Insumos!$A$6:$A$105,0)),0))</f>
        <v/>
      </c>
      <c r="J74" s="23" t="str">
        <f aca="false">IF(OR(D74="",H74=""),"",H74*I74)</f>
        <v/>
      </c>
    </row>
    <row r="75" customFormat="false" ht="15" hidden="false" customHeight="false" outlineLevel="0" collapsed="false">
      <c r="A75" s="17"/>
      <c r="B75" s="17"/>
      <c r="C75" s="17"/>
      <c r="D75" s="17"/>
      <c r="E75" s="9" t="str">
        <f aca="false">IF(D75="","",IFERROR(INDEX(Insumos!$B$6:$B$105,MATCH(D75,Insumos!$A$6:$A$105,0)),"No existe"))</f>
        <v/>
      </c>
      <c r="F75" s="9" t="str">
        <f aca="false">IF(D75="","",IFERROR(INDEX(Insumos!$C$6:$C$105,MATCH(D75,Insumos!$A$6:$A$105,0)),""))</f>
        <v/>
      </c>
      <c r="G75" s="9" t="str">
        <f aca="false">IF(D75="","",IFERROR(INDEX(Insumos!$D$6:$D$105,MATCH(D75,Insumos!$A$6:$A$105,0)),""))</f>
        <v/>
      </c>
      <c r="H75" s="22"/>
      <c r="I75" s="23" t="str">
        <f aca="false">IF(D75="","",IFERROR(INDEX(Insumos!$E$6:$E$105,MATCH(D75,Insumos!$A$6:$A$105,0)),0))</f>
        <v/>
      </c>
      <c r="J75" s="23" t="str">
        <f aca="false">IF(OR(D75="",H75=""),"",H75*I75)</f>
        <v/>
      </c>
    </row>
    <row r="76" customFormat="false" ht="15" hidden="false" customHeight="false" outlineLevel="0" collapsed="false">
      <c r="A76" s="17"/>
      <c r="B76" s="17"/>
      <c r="C76" s="17"/>
      <c r="D76" s="17"/>
      <c r="E76" s="9" t="str">
        <f aca="false">IF(D76="","",IFERROR(INDEX(Insumos!$B$6:$B$105,MATCH(D76,Insumos!$A$6:$A$105,0)),"No existe"))</f>
        <v/>
      </c>
      <c r="F76" s="9" t="str">
        <f aca="false">IF(D76="","",IFERROR(INDEX(Insumos!$C$6:$C$105,MATCH(D76,Insumos!$A$6:$A$105,0)),""))</f>
        <v/>
      </c>
      <c r="G76" s="9" t="str">
        <f aca="false">IF(D76="","",IFERROR(INDEX(Insumos!$D$6:$D$105,MATCH(D76,Insumos!$A$6:$A$105,0)),""))</f>
        <v/>
      </c>
      <c r="H76" s="22"/>
      <c r="I76" s="23" t="str">
        <f aca="false">IF(D76="","",IFERROR(INDEX(Insumos!$E$6:$E$105,MATCH(D76,Insumos!$A$6:$A$105,0)),0))</f>
        <v/>
      </c>
      <c r="J76" s="23" t="str">
        <f aca="false">IF(OR(D76="",H76=""),"",H76*I76)</f>
        <v/>
      </c>
    </row>
    <row r="77" customFormat="false" ht="15" hidden="false" customHeight="false" outlineLevel="0" collapsed="false">
      <c r="A77" s="17"/>
      <c r="B77" s="17"/>
      <c r="C77" s="17"/>
      <c r="D77" s="17"/>
      <c r="E77" s="9" t="str">
        <f aca="false">IF(D77="","",IFERROR(INDEX(Insumos!$B$6:$B$105,MATCH(D77,Insumos!$A$6:$A$105,0)),"No existe"))</f>
        <v/>
      </c>
      <c r="F77" s="9" t="str">
        <f aca="false">IF(D77="","",IFERROR(INDEX(Insumos!$C$6:$C$105,MATCH(D77,Insumos!$A$6:$A$105,0)),""))</f>
        <v/>
      </c>
      <c r="G77" s="9" t="str">
        <f aca="false">IF(D77="","",IFERROR(INDEX(Insumos!$D$6:$D$105,MATCH(D77,Insumos!$A$6:$A$105,0)),""))</f>
        <v/>
      </c>
      <c r="H77" s="22"/>
      <c r="I77" s="23" t="str">
        <f aca="false">IF(D77="","",IFERROR(INDEX(Insumos!$E$6:$E$105,MATCH(D77,Insumos!$A$6:$A$105,0)),0))</f>
        <v/>
      </c>
      <c r="J77" s="23" t="str">
        <f aca="false">IF(OR(D77="",H77=""),"",H77*I77)</f>
        <v/>
      </c>
    </row>
    <row r="78" customFormat="false" ht="15" hidden="false" customHeight="false" outlineLevel="0" collapsed="false">
      <c r="A78" s="17"/>
      <c r="B78" s="17"/>
      <c r="C78" s="17"/>
      <c r="D78" s="17"/>
      <c r="E78" s="9" t="str">
        <f aca="false">IF(D78="","",IFERROR(INDEX(Insumos!$B$6:$B$105,MATCH(D78,Insumos!$A$6:$A$105,0)),"No existe"))</f>
        <v/>
      </c>
      <c r="F78" s="9" t="str">
        <f aca="false">IF(D78="","",IFERROR(INDEX(Insumos!$C$6:$C$105,MATCH(D78,Insumos!$A$6:$A$105,0)),""))</f>
        <v/>
      </c>
      <c r="G78" s="9" t="str">
        <f aca="false">IF(D78="","",IFERROR(INDEX(Insumos!$D$6:$D$105,MATCH(D78,Insumos!$A$6:$A$105,0)),""))</f>
        <v/>
      </c>
      <c r="H78" s="22"/>
      <c r="I78" s="23" t="str">
        <f aca="false">IF(D78="","",IFERROR(INDEX(Insumos!$E$6:$E$105,MATCH(D78,Insumos!$A$6:$A$105,0)),0))</f>
        <v/>
      </c>
      <c r="J78" s="23" t="str">
        <f aca="false">IF(OR(D78="",H78=""),"",H78*I78)</f>
        <v/>
      </c>
    </row>
    <row r="79" customFormat="false" ht="15" hidden="false" customHeight="false" outlineLevel="0" collapsed="false">
      <c r="A79" s="17"/>
      <c r="B79" s="17"/>
      <c r="C79" s="17"/>
      <c r="D79" s="17"/>
      <c r="E79" s="9" t="str">
        <f aca="false">IF(D79="","",IFERROR(INDEX(Insumos!$B$6:$B$105,MATCH(D79,Insumos!$A$6:$A$105,0)),"No existe"))</f>
        <v/>
      </c>
      <c r="F79" s="9" t="str">
        <f aca="false">IF(D79="","",IFERROR(INDEX(Insumos!$C$6:$C$105,MATCH(D79,Insumos!$A$6:$A$105,0)),""))</f>
        <v/>
      </c>
      <c r="G79" s="9" t="str">
        <f aca="false">IF(D79="","",IFERROR(INDEX(Insumos!$D$6:$D$105,MATCH(D79,Insumos!$A$6:$A$105,0)),""))</f>
        <v/>
      </c>
      <c r="H79" s="22"/>
      <c r="I79" s="23" t="str">
        <f aca="false">IF(D79="","",IFERROR(INDEX(Insumos!$E$6:$E$105,MATCH(D79,Insumos!$A$6:$A$105,0)),0))</f>
        <v/>
      </c>
      <c r="J79" s="23" t="str">
        <f aca="false">IF(OR(D79="",H79=""),"",H79*I79)</f>
        <v/>
      </c>
    </row>
    <row r="80" customFormat="false" ht="15" hidden="false" customHeight="false" outlineLevel="0" collapsed="false">
      <c r="A80" s="17"/>
      <c r="B80" s="17"/>
      <c r="C80" s="17"/>
      <c r="D80" s="17"/>
      <c r="E80" s="9" t="str">
        <f aca="false">IF(D80="","",IFERROR(INDEX(Insumos!$B$6:$B$105,MATCH(D80,Insumos!$A$6:$A$105,0)),"No existe"))</f>
        <v/>
      </c>
      <c r="F80" s="9" t="str">
        <f aca="false">IF(D80="","",IFERROR(INDEX(Insumos!$C$6:$C$105,MATCH(D80,Insumos!$A$6:$A$105,0)),""))</f>
        <v/>
      </c>
      <c r="G80" s="9" t="str">
        <f aca="false">IF(D80="","",IFERROR(INDEX(Insumos!$D$6:$D$105,MATCH(D80,Insumos!$A$6:$A$105,0)),""))</f>
        <v/>
      </c>
      <c r="H80" s="22"/>
      <c r="I80" s="23" t="str">
        <f aca="false">IF(D80="","",IFERROR(INDEX(Insumos!$E$6:$E$105,MATCH(D80,Insumos!$A$6:$A$105,0)),0))</f>
        <v/>
      </c>
      <c r="J80" s="23" t="str">
        <f aca="false">IF(OR(D80="",H80=""),"",H80*I80)</f>
        <v/>
      </c>
    </row>
    <row r="81" customFormat="false" ht="15" hidden="false" customHeight="false" outlineLevel="0" collapsed="false">
      <c r="A81" s="17"/>
      <c r="B81" s="17"/>
      <c r="C81" s="17"/>
      <c r="D81" s="17"/>
      <c r="E81" s="9" t="str">
        <f aca="false">IF(D81="","",IFERROR(INDEX(Insumos!$B$6:$B$105,MATCH(D81,Insumos!$A$6:$A$105,0)),"No existe"))</f>
        <v/>
      </c>
      <c r="F81" s="9" t="str">
        <f aca="false">IF(D81="","",IFERROR(INDEX(Insumos!$C$6:$C$105,MATCH(D81,Insumos!$A$6:$A$105,0)),""))</f>
        <v/>
      </c>
      <c r="G81" s="9" t="str">
        <f aca="false">IF(D81="","",IFERROR(INDEX(Insumos!$D$6:$D$105,MATCH(D81,Insumos!$A$6:$A$105,0)),""))</f>
        <v/>
      </c>
      <c r="H81" s="22"/>
      <c r="I81" s="23" t="str">
        <f aca="false">IF(D81="","",IFERROR(INDEX(Insumos!$E$6:$E$105,MATCH(D81,Insumos!$A$6:$A$105,0)),0))</f>
        <v/>
      </c>
      <c r="J81" s="23" t="str">
        <f aca="false">IF(OR(D81="",H81=""),"",H81*I81)</f>
        <v/>
      </c>
    </row>
    <row r="82" customFormat="false" ht="15" hidden="false" customHeight="false" outlineLevel="0" collapsed="false">
      <c r="A82" s="17"/>
      <c r="B82" s="17"/>
      <c r="C82" s="17"/>
      <c r="D82" s="17"/>
      <c r="E82" s="9" t="str">
        <f aca="false">IF(D82="","",IFERROR(INDEX(Insumos!$B$6:$B$105,MATCH(D82,Insumos!$A$6:$A$105,0)),"No existe"))</f>
        <v/>
      </c>
      <c r="F82" s="9" t="str">
        <f aca="false">IF(D82="","",IFERROR(INDEX(Insumos!$C$6:$C$105,MATCH(D82,Insumos!$A$6:$A$105,0)),""))</f>
        <v/>
      </c>
      <c r="G82" s="9" t="str">
        <f aca="false">IF(D82="","",IFERROR(INDEX(Insumos!$D$6:$D$105,MATCH(D82,Insumos!$A$6:$A$105,0)),""))</f>
        <v/>
      </c>
      <c r="H82" s="22"/>
      <c r="I82" s="23" t="str">
        <f aca="false">IF(D82="","",IFERROR(INDEX(Insumos!$E$6:$E$105,MATCH(D82,Insumos!$A$6:$A$105,0)),0))</f>
        <v/>
      </c>
      <c r="J82" s="23" t="str">
        <f aca="false">IF(OR(D82="",H82=""),"",H82*I82)</f>
        <v/>
      </c>
    </row>
    <row r="83" customFormat="false" ht="15" hidden="false" customHeight="false" outlineLevel="0" collapsed="false">
      <c r="A83" s="17"/>
      <c r="B83" s="17"/>
      <c r="C83" s="17"/>
      <c r="D83" s="17"/>
      <c r="E83" s="9" t="str">
        <f aca="false">IF(D83="","",IFERROR(INDEX(Insumos!$B$6:$B$105,MATCH(D83,Insumos!$A$6:$A$105,0)),"No existe"))</f>
        <v/>
      </c>
      <c r="F83" s="9" t="str">
        <f aca="false">IF(D83="","",IFERROR(INDEX(Insumos!$C$6:$C$105,MATCH(D83,Insumos!$A$6:$A$105,0)),""))</f>
        <v/>
      </c>
      <c r="G83" s="9" t="str">
        <f aca="false">IF(D83="","",IFERROR(INDEX(Insumos!$D$6:$D$105,MATCH(D83,Insumos!$A$6:$A$105,0)),""))</f>
        <v/>
      </c>
      <c r="H83" s="22"/>
      <c r="I83" s="23" t="str">
        <f aca="false">IF(D83="","",IFERROR(INDEX(Insumos!$E$6:$E$105,MATCH(D83,Insumos!$A$6:$A$105,0)),0))</f>
        <v/>
      </c>
      <c r="J83" s="23" t="str">
        <f aca="false">IF(OR(D83="",H83=""),"",H83*I83)</f>
        <v/>
      </c>
    </row>
    <row r="84" customFormat="false" ht="15" hidden="false" customHeight="false" outlineLevel="0" collapsed="false">
      <c r="A84" s="17"/>
      <c r="B84" s="17"/>
      <c r="C84" s="17"/>
      <c r="D84" s="17"/>
      <c r="E84" s="9" t="str">
        <f aca="false">IF(D84="","",IFERROR(INDEX(Insumos!$B$6:$B$105,MATCH(D84,Insumos!$A$6:$A$105,0)),"No existe"))</f>
        <v/>
      </c>
      <c r="F84" s="9" t="str">
        <f aca="false">IF(D84="","",IFERROR(INDEX(Insumos!$C$6:$C$105,MATCH(D84,Insumos!$A$6:$A$105,0)),""))</f>
        <v/>
      </c>
      <c r="G84" s="9" t="str">
        <f aca="false">IF(D84="","",IFERROR(INDEX(Insumos!$D$6:$D$105,MATCH(D84,Insumos!$A$6:$A$105,0)),""))</f>
        <v/>
      </c>
      <c r="H84" s="22"/>
      <c r="I84" s="23" t="str">
        <f aca="false">IF(D84="","",IFERROR(INDEX(Insumos!$E$6:$E$105,MATCH(D84,Insumos!$A$6:$A$105,0)),0))</f>
        <v/>
      </c>
      <c r="J84" s="23" t="str">
        <f aca="false">IF(OR(D84="",H84=""),"",H84*I84)</f>
        <v/>
      </c>
    </row>
    <row r="85" customFormat="false" ht="15" hidden="false" customHeight="false" outlineLevel="0" collapsed="false">
      <c r="A85" s="17"/>
      <c r="B85" s="17"/>
      <c r="C85" s="17"/>
      <c r="D85" s="17"/>
      <c r="E85" s="9" t="str">
        <f aca="false">IF(D85="","",IFERROR(INDEX(Insumos!$B$6:$B$105,MATCH(D85,Insumos!$A$6:$A$105,0)),"No existe"))</f>
        <v/>
      </c>
      <c r="F85" s="9" t="str">
        <f aca="false">IF(D85="","",IFERROR(INDEX(Insumos!$C$6:$C$105,MATCH(D85,Insumos!$A$6:$A$105,0)),""))</f>
        <v/>
      </c>
      <c r="G85" s="9" t="str">
        <f aca="false">IF(D85="","",IFERROR(INDEX(Insumos!$D$6:$D$105,MATCH(D85,Insumos!$A$6:$A$105,0)),""))</f>
        <v/>
      </c>
      <c r="H85" s="22"/>
      <c r="I85" s="23" t="str">
        <f aca="false">IF(D85="","",IFERROR(INDEX(Insumos!$E$6:$E$105,MATCH(D85,Insumos!$A$6:$A$105,0)),0))</f>
        <v/>
      </c>
      <c r="J85" s="23" t="str">
        <f aca="false">IF(OR(D85="",H85=""),"",H85*I85)</f>
        <v/>
      </c>
    </row>
    <row r="86" customFormat="false" ht="15" hidden="false" customHeight="false" outlineLevel="0" collapsed="false">
      <c r="A86" s="17"/>
      <c r="B86" s="17"/>
      <c r="C86" s="17"/>
      <c r="D86" s="17"/>
      <c r="E86" s="9" t="str">
        <f aca="false">IF(D86="","",IFERROR(INDEX(Insumos!$B$6:$B$105,MATCH(D86,Insumos!$A$6:$A$105,0)),"No existe"))</f>
        <v/>
      </c>
      <c r="F86" s="9" t="str">
        <f aca="false">IF(D86="","",IFERROR(INDEX(Insumos!$C$6:$C$105,MATCH(D86,Insumos!$A$6:$A$105,0)),""))</f>
        <v/>
      </c>
      <c r="G86" s="9" t="str">
        <f aca="false">IF(D86="","",IFERROR(INDEX(Insumos!$D$6:$D$105,MATCH(D86,Insumos!$A$6:$A$105,0)),""))</f>
        <v/>
      </c>
      <c r="H86" s="22"/>
      <c r="I86" s="23" t="str">
        <f aca="false">IF(D86="","",IFERROR(INDEX(Insumos!$E$6:$E$105,MATCH(D86,Insumos!$A$6:$A$105,0)),0))</f>
        <v/>
      </c>
      <c r="J86" s="23" t="str">
        <f aca="false">IF(OR(D86="",H86=""),"",H86*I86)</f>
        <v/>
      </c>
    </row>
    <row r="87" customFormat="false" ht="15" hidden="false" customHeight="false" outlineLevel="0" collapsed="false">
      <c r="A87" s="17"/>
      <c r="B87" s="17"/>
      <c r="C87" s="17"/>
      <c r="D87" s="17"/>
      <c r="E87" s="9" t="str">
        <f aca="false">IF(D87="","",IFERROR(INDEX(Insumos!$B$6:$B$105,MATCH(D87,Insumos!$A$6:$A$105,0)),"No existe"))</f>
        <v/>
      </c>
      <c r="F87" s="9" t="str">
        <f aca="false">IF(D87="","",IFERROR(INDEX(Insumos!$C$6:$C$105,MATCH(D87,Insumos!$A$6:$A$105,0)),""))</f>
        <v/>
      </c>
      <c r="G87" s="9" t="str">
        <f aca="false">IF(D87="","",IFERROR(INDEX(Insumos!$D$6:$D$105,MATCH(D87,Insumos!$A$6:$A$105,0)),""))</f>
        <v/>
      </c>
      <c r="H87" s="22"/>
      <c r="I87" s="23" t="str">
        <f aca="false">IF(D87="","",IFERROR(INDEX(Insumos!$E$6:$E$105,MATCH(D87,Insumos!$A$6:$A$105,0)),0))</f>
        <v/>
      </c>
      <c r="J87" s="23" t="str">
        <f aca="false">IF(OR(D87="",H87=""),"",H87*I87)</f>
        <v/>
      </c>
    </row>
    <row r="88" customFormat="false" ht="15" hidden="false" customHeight="false" outlineLevel="0" collapsed="false">
      <c r="A88" s="17"/>
      <c r="B88" s="17"/>
      <c r="C88" s="17"/>
      <c r="D88" s="17"/>
      <c r="E88" s="9" t="str">
        <f aca="false">IF(D88="","",IFERROR(INDEX(Insumos!$B$6:$B$105,MATCH(D88,Insumos!$A$6:$A$105,0)),"No existe"))</f>
        <v/>
      </c>
      <c r="F88" s="9" t="str">
        <f aca="false">IF(D88="","",IFERROR(INDEX(Insumos!$C$6:$C$105,MATCH(D88,Insumos!$A$6:$A$105,0)),""))</f>
        <v/>
      </c>
      <c r="G88" s="9" t="str">
        <f aca="false">IF(D88="","",IFERROR(INDEX(Insumos!$D$6:$D$105,MATCH(D88,Insumos!$A$6:$A$105,0)),""))</f>
        <v/>
      </c>
      <c r="H88" s="22"/>
      <c r="I88" s="23" t="str">
        <f aca="false">IF(D88="","",IFERROR(INDEX(Insumos!$E$6:$E$105,MATCH(D88,Insumos!$A$6:$A$105,0)),0))</f>
        <v/>
      </c>
      <c r="J88" s="23" t="str">
        <f aca="false">IF(OR(D88="",H88=""),"",H88*I88)</f>
        <v/>
      </c>
    </row>
    <row r="89" customFormat="false" ht="15" hidden="false" customHeight="false" outlineLevel="0" collapsed="false">
      <c r="A89" s="17"/>
      <c r="B89" s="17"/>
      <c r="C89" s="17"/>
      <c r="D89" s="17"/>
      <c r="E89" s="9" t="str">
        <f aca="false">IF(D89="","",IFERROR(INDEX(Insumos!$B$6:$B$105,MATCH(D89,Insumos!$A$6:$A$105,0)),"No existe"))</f>
        <v/>
      </c>
      <c r="F89" s="9" t="str">
        <f aca="false">IF(D89="","",IFERROR(INDEX(Insumos!$C$6:$C$105,MATCH(D89,Insumos!$A$6:$A$105,0)),""))</f>
        <v/>
      </c>
      <c r="G89" s="9" t="str">
        <f aca="false">IF(D89="","",IFERROR(INDEX(Insumos!$D$6:$D$105,MATCH(D89,Insumos!$A$6:$A$105,0)),""))</f>
        <v/>
      </c>
      <c r="H89" s="22"/>
      <c r="I89" s="23" t="str">
        <f aca="false">IF(D89="","",IFERROR(INDEX(Insumos!$E$6:$E$105,MATCH(D89,Insumos!$A$6:$A$105,0)),0))</f>
        <v/>
      </c>
      <c r="J89" s="23" t="str">
        <f aca="false">IF(OR(D89="",H89=""),"",H89*I89)</f>
        <v/>
      </c>
    </row>
    <row r="90" customFormat="false" ht="15" hidden="false" customHeight="false" outlineLevel="0" collapsed="false">
      <c r="A90" s="17"/>
      <c r="B90" s="17"/>
      <c r="C90" s="17"/>
      <c r="D90" s="17"/>
      <c r="E90" s="9" t="str">
        <f aca="false">IF(D90="","",IFERROR(INDEX(Insumos!$B$6:$B$105,MATCH(D90,Insumos!$A$6:$A$105,0)),"No existe"))</f>
        <v/>
      </c>
      <c r="F90" s="9" t="str">
        <f aca="false">IF(D90="","",IFERROR(INDEX(Insumos!$C$6:$C$105,MATCH(D90,Insumos!$A$6:$A$105,0)),""))</f>
        <v/>
      </c>
      <c r="G90" s="9" t="str">
        <f aca="false">IF(D90="","",IFERROR(INDEX(Insumos!$D$6:$D$105,MATCH(D90,Insumos!$A$6:$A$105,0)),""))</f>
        <v/>
      </c>
      <c r="H90" s="22"/>
      <c r="I90" s="23" t="str">
        <f aca="false">IF(D90="","",IFERROR(INDEX(Insumos!$E$6:$E$105,MATCH(D90,Insumos!$A$6:$A$105,0)),0))</f>
        <v/>
      </c>
      <c r="J90" s="23" t="str">
        <f aca="false">IF(OR(D90="",H90=""),"",H90*I90)</f>
        <v/>
      </c>
    </row>
    <row r="91" customFormat="false" ht="15" hidden="false" customHeight="false" outlineLevel="0" collapsed="false">
      <c r="A91" s="17"/>
      <c r="B91" s="17"/>
      <c r="C91" s="17"/>
      <c r="D91" s="17"/>
      <c r="E91" s="9" t="str">
        <f aca="false">IF(D91="","",IFERROR(INDEX(Insumos!$B$6:$B$105,MATCH(D91,Insumos!$A$6:$A$105,0)),"No existe"))</f>
        <v/>
      </c>
      <c r="F91" s="9" t="str">
        <f aca="false">IF(D91="","",IFERROR(INDEX(Insumos!$C$6:$C$105,MATCH(D91,Insumos!$A$6:$A$105,0)),""))</f>
        <v/>
      </c>
      <c r="G91" s="9" t="str">
        <f aca="false">IF(D91="","",IFERROR(INDEX(Insumos!$D$6:$D$105,MATCH(D91,Insumos!$A$6:$A$105,0)),""))</f>
        <v/>
      </c>
      <c r="H91" s="22"/>
      <c r="I91" s="23" t="str">
        <f aca="false">IF(D91="","",IFERROR(INDEX(Insumos!$E$6:$E$105,MATCH(D91,Insumos!$A$6:$A$105,0)),0))</f>
        <v/>
      </c>
      <c r="J91" s="23" t="str">
        <f aca="false">IF(OR(D91="",H91=""),"",H91*I91)</f>
        <v/>
      </c>
    </row>
    <row r="92" customFormat="false" ht="15" hidden="false" customHeight="false" outlineLevel="0" collapsed="false">
      <c r="A92" s="17"/>
      <c r="B92" s="17"/>
      <c r="C92" s="17"/>
      <c r="D92" s="17"/>
      <c r="E92" s="9" t="str">
        <f aca="false">IF(D92="","",IFERROR(INDEX(Insumos!$B$6:$B$105,MATCH(D92,Insumos!$A$6:$A$105,0)),"No existe"))</f>
        <v/>
      </c>
      <c r="F92" s="9" t="str">
        <f aca="false">IF(D92="","",IFERROR(INDEX(Insumos!$C$6:$C$105,MATCH(D92,Insumos!$A$6:$A$105,0)),""))</f>
        <v/>
      </c>
      <c r="G92" s="9" t="str">
        <f aca="false">IF(D92="","",IFERROR(INDEX(Insumos!$D$6:$D$105,MATCH(D92,Insumos!$A$6:$A$105,0)),""))</f>
        <v/>
      </c>
      <c r="H92" s="22"/>
      <c r="I92" s="23" t="str">
        <f aca="false">IF(D92="","",IFERROR(INDEX(Insumos!$E$6:$E$105,MATCH(D92,Insumos!$A$6:$A$105,0)),0))</f>
        <v/>
      </c>
      <c r="J92" s="23" t="str">
        <f aca="false">IF(OR(D92="",H92=""),"",H92*I92)</f>
        <v/>
      </c>
    </row>
    <row r="93" customFormat="false" ht="15" hidden="false" customHeight="false" outlineLevel="0" collapsed="false">
      <c r="A93" s="17"/>
      <c r="B93" s="17"/>
      <c r="C93" s="17"/>
      <c r="D93" s="17"/>
      <c r="E93" s="9" t="str">
        <f aca="false">IF(D93="","",IFERROR(INDEX(Insumos!$B$6:$B$105,MATCH(D93,Insumos!$A$6:$A$105,0)),"No existe"))</f>
        <v/>
      </c>
      <c r="F93" s="9" t="str">
        <f aca="false">IF(D93="","",IFERROR(INDEX(Insumos!$C$6:$C$105,MATCH(D93,Insumos!$A$6:$A$105,0)),""))</f>
        <v/>
      </c>
      <c r="G93" s="9" t="str">
        <f aca="false">IF(D93="","",IFERROR(INDEX(Insumos!$D$6:$D$105,MATCH(D93,Insumos!$A$6:$A$105,0)),""))</f>
        <v/>
      </c>
      <c r="H93" s="22"/>
      <c r="I93" s="23" t="str">
        <f aca="false">IF(D93="","",IFERROR(INDEX(Insumos!$E$6:$E$105,MATCH(D93,Insumos!$A$6:$A$105,0)),0))</f>
        <v/>
      </c>
      <c r="J93" s="23" t="str">
        <f aca="false">IF(OR(D93="",H93=""),"",H93*I93)</f>
        <v/>
      </c>
    </row>
    <row r="94" customFormat="false" ht="15" hidden="false" customHeight="false" outlineLevel="0" collapsed="false">
      <c r="A94" s="17"/>
      <c r="B94" s="17"/>
      <c r="C94" s="17"/>
      <c r="D94" s="17"/>
      <c r="E94" s="9" t="str">
        <f aca="false">IF(D94="","",IFERROR(INDEX(Insumos!$B$6:$B$105,MATCH(D94,Insumos!$A$6:$A$105,0)),"No existe"))</f>
        <v/>
      </c>
      <c r="F94" s="9" t="str">
        <f aca="false">IF(D94="","",IFERROR(INDEX(Insumos!$C$6:$C$105,MATCH(D94,Insumos!$A$6:$A$105,0)),""))</f>
        <v/>
      </c>
      <c r="G94" s="9" t="str">
        <f aca="false">IF(D94="","",IFERROR(INDEX(Insumos!$D$6:$D$105,MATCH(D94,Insumos!$A$6:$A$105,0)),""))</f>
        <v/>
      </c>
      <c r="H94" s="22"/>
      <c r="I94" s="23" t="str">
        <f aca="false">IF(D94="","",IFERROR(INDEX(Insumos!$E$6:$E$105,MATCH(D94,Insumos!$A$6:$A$105,0)),0))</f>
        <v/>
      </c>
      <c r="J94" s="23" t="str">
        <f aca="false">IF(OR(D94="",H94=""),"",H94*I94)</f>
        <v/>
      </c>
    </row>
    <row r="95" customFormat="false" ht="15" hidden="false" customHeight="false" outlineLevel="0" collapsed="false">
      <c r="A95" s="17"/>
      <c r="B95" s="17"/>
      <c r="C95" s="17"/>
      <c r="D95" s="17"/>
      <c r="E95" s="9" t="str">
        <f aca="false">IF(D95="","",IFERROR(INDEX(Insumos!$B$6:$B$105,MATCH(D95,Insumos!$A$6:$A$105,0)),"No existe"))</f>
        <v/>
      </c>
      <c r="F95" s="9" t="str">
        <f aca="false">IF(D95="","",IFERROR(INDEX(Insumos!$C$6:$C$105,MATCH(D95,Insumos!$A$6:$A$105,0)),""))</f>
        <v/>
      </c>
      <c r="G95" s="9" t="str">
        <f aca="false">IF(D95="","",IFERROR(INDEX(Insumos!$D$6:$D$105,MATCH(D95,Insumos!$A$6:$A$105,0)),""))</f>
        <v/>
      </c>
      <c r="H95" s="22"/>
      <c r="I95" s="23" t="str">
        <f aca="false">IF(D95="","",IFERROR(INDEX(Insumos!$E$6:$E$105,MATCH(D95,Insumos!$A$6:$A$105,0)),0))</f>
        <v/>
      </c>
      <c r="J95" s="23" t="str">
        <f aca="false">IF(OR(D95="",H95=""),"",H95*I95)</f>
        <v/>
      </c>
    </row>
    <row r="96" customFormat="false" ht="15" hidden="false" customHeight="false" outlineLevel="0" collapsed="false">
      <c r="A96" s="17"/>
      <c r="B96" s="17"/>
      <c r="C96" s="17"/>
      <c r="D96" s="17"/>
      <c r="E96" s="9" t="str">
        <f aca="false">IF(D96="","",IFERROR(INDEX(Insumos!$B$6:$B$105,MATCH(D96,Insumos!$A$6:$A$105,0)),"No existe"))</f>
        <v/>
      </c>
      <c r="F96" s="9" t="str">
        <f aca="false">IF(D96="","",IFERROR(INDEX(Insumos!$C$6:$C$105,MATCH(D96,Insumos!$A$6:$A$105,0)),""))</f>
        <v/>
      </c>
      <c r="G96" s="9" t="str">
        <f aca="false">IF(D96="","",IFERROR(INDEX(Insumos!$D$6:$D$105,MATCH(D96,Insumos!$A$6:$A$105,0)),""))</f>
        <v/>
      </c>
      <c r="H96" s="22"/>
      <c r="I96" s="23" t="str">
        <f aca="false">IF(D96="","",IFERROR(INDEX(Insumos!$E$6:$E$105,MATCH(D96,Insumos!$A$6:$A$105,0)),0))</f>
        <v/>
      </c>
      <c r="J96" s="23" t="str">
        <f aca="false">IF(OR(D96="",H96=""),"",H96*I96)</f>
        <v/>
      </c>
    </row>
    <row r="97" customFormat="false" ht="15" hidden="false" customHeight="false" outlineLevel="0" collapsed="false">
      <c r="A97" s="17"/>
      <c r="B97" s="17"/>
      <c r="C97" s="17"/>
      <c r="D97" s="17"/>
      <c r="E97" s="9" t="str">
        <f aca="false">IF(D97="","",IFERROR(INDEX(Insumos!$B$6:$B$105,MATCH(D97,Insumos!$A$6:$A$105,0)),"No existe"))</f>
        <v/>
      </c>
      <c r="F97" s="9" t="str">
        <f aca="false">IF(D97="","",IFERROR(INDEX(Insumos!$C$6:$C$105,MATCH(D97,Insumos!$A$6:$A$105,0)),""))</f>
        <v/>
      </c>
      <c r="G97" s="9" t="str">
        <f aca="false">IF(D97="","",IFERROR(INDEX(Insumos!$D$6:$D$105,MATCH(D97,Insumos!$A$6:$A$105,0)),""))</f>
        <v/>
      </c>
      <c r="H97" s="22"/>
      <c r="I97" s="23" t="str">
        <f aca="false">IF(D97="","",IFERROR(INDEX(Insumos!$E$6:$E$105,MATCH(D97,Insumos!$A$6:$A$105,0)),0))</f>
        <v/>
      </c>
      <c r="J97" s="23" t="str">
        <f aca="false">IF(OR(D97="",H97=""),"",H97*I97)</f>
        <v/>
      </c>
    </row>
    <row r="98" customFormat="false" ht="15" hidden="false" customHeight="false" outlineLevel="0" collapsed="false">
      <c r="A98" s="17"/>
      <c r="B98" s="17"/>
      <c r="C98" s="17"/>
      <c r="D98" s="17"/>
      <c r="E98" s="9" t="str">
        <f aca="false">IF(D98="","",IFERROR(INDEX(Insumos!$B$6:$B$105,MATCH(D98,Insumos!$A$6:$A$105,0)),"No existe"))</f>
        <v/>
      </c>
      <c r="F98" s="9" t="str">
        <f aca="false">IF(D98="","",IFERROR(INDEX(Insumos!$C$6:$C$105,MATCH(D98,Insumos!$A$6:$A$105,0)),""))</f>
        <v/>
      </c>
      <c r="G98" s="9" t="str">
        <f aca="false">IF(D98="","",IFERROR(INDEX(Insumos!$D$6:$D$105,MATCH(D98,Insumos!$A$6:$A$105,0)),""))</f>
        <v/>
      </c>
      <c r="H98" s="22"/>
      <c r="I98" s="23" t="str">
        <f aca="false">IF(D98="","",IFERROR(INDEX(Insumos!$E$6:$E$105,MATCH(D98,Insumos!$A$6:$A$105,0)),0))</f>
        <v/>
      </c>
      <c r="J98" s="23" t="str">
        <f aca="false">IF(OR(D98="",H98=""),"",H98*I98)</f>
        <v/>
      </c>
    </row>
    <row r="99" customFormat="false" ht="15" hidden="false" customHeight="false" outlineLevel="0" collapsed="false">
      <c r="A99" s="17"/>
      <c r="B99" s="17"/>
      <c r="C99" s="17"/>
      <c r="D99" s="17"/>
      <c r="E99" s="9" t="str">
        <f aca="false">IF(D99="","",IFERROR(INDEX(Insumos!$B$6:$B$105,MATCH(D99,Insumos!$A$6:$A$105,0)),"No existe"))</f>
        <v/>
      </c>
      <c r="F99" s="9" t="str">
        <f aca="false">IF(D99="","",IFERROR(INDEX(Insumos!$C$6:$C$105,MATCH(D99,Insumos!$A$6:$A$105,0)),""))</f>
        <v/>
      </c>
      <c r="G99" s="9" t="str">
        <f aca="false">IF(D99="","",IFERROR(INDEX(Insumos!$D$6:$D$105,MATCH(D99,Insumos!$A$6:$A$105,0)),""))</f>
        <v/>
      </c>
      <c r="H99" s="22"/>
      <c r="I99" s="23" t="str">
        <f aca="false">IF(D99="","",IFERROR(INDEX(Insumos!$E$6:$E$105,MATCH(D99,Insumos!$A$6:$A$105,0)),0))</f>
        <v/>
      </c>
      <c r="J99" s="23" t="str">
        <f aca="false">IF(OR(D99="",H99=""),"",H99*I99)</f>
        <v/>
      </c>
    </row>
    <row r="100" customFormat="false" ht="15" hidden="false" customHeight="false" outlineLevel="0" collapsed="false">
      <c r="A100" s="17"/>
      <c r="B100" s="17"/>
      <c r="C100" s="17"/>
      <c r="D100" s="17"/>
      <c r="E100" s="9" t="str">
        <f aca="false">IF(D100="","",IFERROR(INDEX(Insumos!$B$6:$B$105,MATCH(D100,Insumos!$A$6:$A$105,0)),"No existe"))</f>
        <v/>
      </c>
      <c r="F100" s="9" t="str">
        <f aca="false">IF(D100="","",IFERROR(INDEX(Insumos!$C$6:$C$105,MATCH(D100,Insumos!$A$6:$A$105,0)),""))</f>
        <v/>
      </c>
      <c r="G100" s="9" t="str">
        <f aca="false">IF(D100="","",IFERROR(INDEX(Insumos!$D$6:$D$105,MATCH(D100,Insumos!$A$6:$A$105,0)),""))</f>
        <v/>
      </c>
      <c r="H100" s="22"/>
      <c r="I100" s="23" t="str">
        <f aca="false">IF(D100="","",IFERROR(INDEX(Insumos!$E$6:$E$105,MATCH(D100,Insumos!$A$6:$A$105,0)),0))</f>
        <v/>
      </c>
      <c r="J100" s="23" t="str">
        <f aca="false">IF(OR(D100="",H100=""),"",H100*I100)</f>
        <v/>
      </c>
    </row>
    <row r="101" customFormat="false" ht="15" hidden="false" customHeight="false" outlineLevel="0" collapsed="false">
      <c r="A101" s="17"/>
      <c r="B101" s="17"/>
      <c r="C101" s="17"/>
      <c r="D101" s="17"/>
      <c r="E101" s="9" t="str">
        <f aca="false">IF(D101="","",IFERROR(INDEX(Insumos!$B$6:$B$105,MATCH(D101,Insumos!$A$6:$A$105,0)),"No existe"))</f>
        <v/>
      </c>
      <c r="F101" s="9" t="str">
        <f aca="false">IF(D101="","",IFERROR(INDEX(Insumos!$C$6:$C$105,MATCH(D101,Insumos!$A$6:$A$105,0)),""))</f>
        <v/>
      </c>
      <c r="G101" s="9" t="str">
        <f aca="false">IF(D101="","",IFERROR(INDEX(Insumos!$D$6:$D$105,MATCH(D101,Insumos!$A$6:$A$105,0)),""))</f>
        <v/>
      </c>
      <c r="H101" s="22"/>
      <c r="I101" s="23" t="str">
        <f aca="false">IF(D101="","",IFERROR(INDEX(Insumos!$E$6:$E$105,MATCH(D101,Insumos!$A$6:$A$105,0)),0))</f>
        <v/>
      </c>
      <c r="J101" s="23" t="str">
        <f aca="false">IF(OR(D101="",H101=""),"",H101*I101)</f>
        <v/>
      </c>
    </row>
    <row r="102" customFormat="false" ht="15" hidden="false" customHeight="false" outlineLevel="0" collapsed="false">
      <c r="A102" s="17"/>
      <c r="B102" s="17"/>
      <c r="C102" s="17"/>
      <c r="D102" s="17"/>
      <c r="E102" s="9" t="str">
        <f aca="false">IF(D102="","",IFERROR(INDEX(Insumos!$B$6:$B$105,MATCH(D102,Insumos!$A$6:$A$105,0)),"No existe"))</f>
        <v/>
      </c>
      <c r="F102" s="9" t="str">
        <f aca="false">IF(D102="","",IFERROR(INDEX(Insumos!$C$6:$C$105,MATCH(D102,Insumos!$A$6:$A$105,0)),""))</f>
        <v/>
      </c>
      <c r="G102" s="9" t="str">
        <f aca="false">IF(D102="","",IFERROR(INDEX(Insumos!$D$6:$D$105,MATCH(D102,Insumos!$A$6:$A$105,0)),""))</f>
        <v/>
      </c>
      <c r="H102" s="22"/>
      <c r="I102" s="23" t="str">
        <f aca="false">IF(D102="","",IFERROR(INDEX(Insumos!$E$6:$E$105,MATCH(D102,Insumos!$A$6:$A$105,0)),0))</f>
        <v/>
      </c>
      <c r="J102" s="23" t="str">
        <f aca="false">IF(OR(D102="",H102=""),"",H102*I102)</f>
        <v/>
      </c>
    </row>
    <row r="103" customFormat="false" ht="15" hidden="false" customHeight="false" outlineLevel="0" collapsed="false">
      <c r="A103" s="17"/>
      <c r="B103" s="17"/>
      <c r="C103" s="17"/>
      <c r="D103" s="17"/>
      <c r="E103" s="9" t="str">
        <f aca="false">IF(D103="","",IFERROR(INDEX(Insumos!$B$6:$B$105,MATCH(D103,Insumos!$A$6:$A$105,0)),"No existe"))</f>
        <v/>
      </c>
      <c r="F103" s="9" t="str">
        <f aca="false">IF(D103="","",IFERROR(INDEX(Insumos!$C$6:$C$105,MATCH(D103,Insumos!$A$6:$A$105,0)),""))</f>
        <v/>
      </c>
      <c r="G103" s="9" t="str">
        <f aca="false">IF(D103="","",IFERROR(INDEX(Insumos!$D$6:$D$105,MATCH(D103,Insumos!$A$6:$A$105,0)),""))</f>
        <v/>
      </c>
      <c r="H103" s="22"/>
      <c r="I103" s="23" t="str">
        <f aca="false">IF(D103="","",IFERROR(INDEX(Insumos!$E$6:$E$105,MATCH(D103,Insumos!$A$6:$A$105,0)),0))</f>
        <v/>
      </c>
      <c r="J103" s="23" t="str">
        <f aca="false">IF(OR(D103="",H103=""),"",H103*I103)</f>
        <v/>
      </c>
    </row>
    <row r="104" customFormat="false" ht="15" hidden="false" customHeight="false" outlineLevel="0" collapsed="false">
      <c r="A104" s="17"/>
      <c r="B104" s="17"/>
      <c r="C104" s="17"/>
      <c r="D104" s="17"/>
      <c r="E104" s="9" t="str">
        <f aca="false">IF(D104="","",IFERROR(INDEX(Insumos!$B$6:$B$105,MATCH(D104,Insumos!$A$6:$A$105,0)),"No existe"))</f>
        <v/>
      </c>
      <c r="F104" s="9" t="str">
        <f aca="false">IF(D104="","",IFERROR(INDEX(Insumos!$C$6:$C$105,MATCH(D104,Insumos!$A$6:$A$105,0)),""))</f>
        <v/>
      </c>
      <c r="G104" s="9" t="str">
        <f aca="false">IF(D104="","",IFERROR(INDEX(Insumos!$D$6:$D$105,MATCH(D104,Insumos!$A$6:$A$105,0)),""))</f>
        <v/>
      </c>
      <c r="H104" s="22"/>
      <c r="I104" s="23" t="str">
        <f aca="false">IF(D104="","",IFERROR(INDEX(Insumos!$E$6:$E$105,MATCH(D104,Insumos!$A$6:$A$105,0)),0))</f>
        <v/>
      </c>
      <c r="J104" s="23" t="str">
        <f aca="false">IF(OR(D104="",H104=""),"",H104*I104)</f>
        <v/>
      </c>
    </row>
    <row r="105" customFormat="false" ht="15" hidden="false" customHeight="false" outlineLevel="0" collapsed="false">
      <c r="A105" s="17"/>
      <c r="B105" s="17"/>
      <c r="C105" s="17"/>
      <c r="D105" s="17"/>
      <c r="E105" s="9" t="str">
        <f aca="false">IF(D105="","",IFERROR(INDEX(Insumos!$B$6:$B$105,MATCH(D105,Insumos!$A$6:$A$105,0)),"No existe"))</f>
        <v/>
      </c>
      <c r="F105" s="9" t="str">
        <f aca="false">IF(D105="","",IFERROR(INDEX(Insumos!$C$6:$C$105,MATCH(D105,Insumos!$A$6:$A$105,0)),""))</f>
        <v/>
      </c>
      <c r="G105" s="9" t="str">
        <f aca="false">IF(D105="","",IFERROR(INDEX(Insumos!$D$6:$D$105,MATCH(D105,Insumos!$A$6:$A$105,0)),""))</f>
        <v/>
      </c>
      <c r="H105" s="22"/>
      <c r="I105" s="23" t="str">
        <f aca="false">IF(D105="","",IFERROR(INDEX(Insumos!$E$6:$E$105,MATCH(D105,Insumos!$A$6:$A$105,0)),0))</f>
        <v/>
      </c>
      <c r="J105" s="23" t="str">
        <f aca="false">IF(OR(D105="",H105=""),"",H105*I105)</f>
        <v/>
      </c>
    </row>
    <row r="106" customFormat="false" ht="15" hidden="false" customHeight="false" outlineLevel="0" collapsed="false">
      <c r="A106" s="17"/>
      <c r="B106" s="17"/>
      <c r="C106" s="17"/>
      <c r="D106" s="17"/>
      <c r="E106" s="9" t="str">
        <f aca="false">IF(D106="","",IFERROR(INDEX(Insumos!$B$6:$B$105,MATCH(D106,Insumos!$A$6:$A$105,0)),"No existe"))</f>
        <v/>
      </c>
      <c r="F106" s="9" t="str">
        <f aca="false">IF(D106="","",IFERROR(INDEX(Insumos!$C$6:$C$105,MATCH(D106,Insumos!$A$6:$A$105,0)),""))</f>
        <v/>
      </c>
      <c r="G106" s="9" t="str">
        <f aca="false">IF(D106="","",IFERROR(INDEX(Insumos!$D$6:$D$105,MATCH(D106,Insumos!$A$6:$A$105,0)),""))</f>
        <v/>
      </c>
      <c r="H106" s="22"/>
      <c r="I106" s="23" t="str">
        <f aca="false">IF(D106="","",IFERROR(INDEX(Insumos!$E$6:$E$105,MATCH(D106,Insumos!$A$6:$A$105,0)),0))</f>
        <v/>
      </c>
      <c r="J106" s="23" t="str">
        <f aca="false">IF(OR(D106="",H106=""),"",H106*I106)</f>
        <v/>
      </c>
    </row>
    <row r="107" customFormat="false" ht="15" hidden="false" customHeight="false" outlineLevel="0" collapsed="false">
      <c r="A107" s="17"/>
      <c r="B107" s="17"/>
      <c r="C107" s="17"/>
      <c r="D107" s="17"/>
      <c r="E107" s="9" t="str">
        <f aca="false">IF(D107="","",IFERROR(INDEX(Insumos!$B$6:$B$105,MATCH(D107,Insumos!$A$6:$A$105,0)),"No existe"))</f>
        <v/>
      </c>
      <c r="F107" s="9" t="str">
        <f aca="false">IF(D107="","",IFERROR(INDEX(Insumos!$C$6:$C$105,MATCH(D107,Insumos!$A$6:$A$105,0)),""))</f>
        <v/>
      </c>
      <c r="G107" s="9" t="str">
        <f aca="false">IF(D107="","",IFERROR(INDEX(Insumos!$D$6:$D$105,MATCH(D107,Insumos!$A$6:$A$105,0)),""))</f>
        <v/>
      </c>
      <c r="H107" s="22"/>
      <c r="I107" s="23" t="str">
        <f aca="false">IF(D107="","",IFERROR(INDEX(Insumos!$E$6:$E$105,MATCH(D107,Insumos!$A$6:$A$105,0)),0))</f>
        <v/>
      </c>
      <c r="J107" s="23" t="str">
        <f aca="false">IF(OR(D107="",H107=""),"",H107*I107)</f>
        <v/>
      </c>
    </row>
    <row r="108" customFormat="false" ht="15" hidden="false" customHeight="false" outlineLevel="0" collapsed="false">
      <c r="A108" s="17"/>
      <c r="B108" s="17"/>
      <c r="C108" s="17"/>
      <c r="D108" s="17"/>
      <c r="E108" s="9" t="str">
        <f aca="false">IF(D108="","",IFERROR(INDEX(Insumos!$B$6:$B$105,MATCH(D108,Insumos!$A$6:$A$105,0)),"No existe"))</f>
        <v/>
      </c>
      <c r="F108" s="9" t="str">
        <f aca="false">IF(D108="","",IFERROR(INDEX(Insumos!$C$6:$C$105,MATCH(D108,Insumos!$A$6:$A$105,0)),""))</f>
        <v/>
      </c>
      <c r="G108" s="9" t="str">
        <f aca="false">IF(D108="","",IFERROR(INDEX(Insumos!$D$6:$D$105,MATCH(D108,Insumos!$A$6:$A$105,0)),""))</f>
        <v/>
      </c>
      <c r="H108" s="22"/>
      <c r="I108" s="23" t="str">
        <f aca="false">IF(D108="","",IFERROR(INDEX(Insumos!$E$6:$E$105,MATCH(D108,Insumos!$A$6:$A$105,0)),0))</f>
        <v/>
      </c>
      <c r="J108" s="23" t="str">
        <f aca="false">IF(OR(D108="",H108=""),"",H108*I108)</f>
        <v/>
      </c>
    </row>
    <row r="109" customFormat="false" ht="15" hidden="false" customHeight="false" outlineLevel="0" collapsed="false">
      <c r="A109" s="17"/>
      <c r="B109" s="17"/>
      <c r="C109" s="17"/>
      <c r="D109" s="17"/>
      <c r="E109" s="9" t="str">
        <f aca="false">IF(D109="","",IFERROR(INDEX(Insumos!$B$6:$B$105,MATCH(D109,Insumos!$A$6:$A$105,0)),"No existe"))</f>
        <v/>
      </c>
      <c r="F109" s="9" t="str">
        <f aca="false">IF(D109="","",IFERROR(INDEX(Insumos!$C$6:$C$105,MATCH(D109,Insumos!$A$6:$A$105,0)),""))</f>
        <v/>
      </c>
      <c r="G109" s="9" t="str">
        <f aca="false">IF(D109="","",IFERROR(INDEX(Insumos!$D$6:$D$105,MATCH(D109,Insumos!$A$6:$A$105,0)),""))</f>
        <v/>
      </c>
      <c r="H109" s="22"/>
      <c r="I109" s="23" t="str">
        <f aca="false">IF(D109="","",IFERROR(INDEX(Insumos!$E$6:$E$105,MATCH(D109,Insumos!$A$6:$A$105,0)),0))</f>
        <v/>
      </c>
      <c r="J109" s="23" t="str">
        <f aca="false">IF(OR(D109="",H109=""),"",H109*I109)</f>
        <v/>
      </c>
    </row>
    <row r="110" customFormat="false" ht="15" hidden="false" customHeight="false" outlineLevel="0" collapsed="false">
      <c r="A110" s="17"/>
      <c r="B110" s="17"/>
      <c r="C110" s="17"/>
      <c r="D110" s="17"/>
      <c r="E110" s="9" t="str">
        <f aca="false">IF(D110="","",IFERROR(INDEX(Insumos!$B$6:$B$105,MATCH(D110,Insumos!$A$6:$A$105,0)),"No existe"))</f>
        <v/>
      </c>
      <c r="F110" s="9" t="str">
        <f aca="false">IF(D110="","",IFERROR(INDEX(Insumos!$C$6:$C$105,MATCH(D110,Insumos!$A$6:$A$105,0)),""))</f>
        <v/>
      </c>
      <c r="G110" s="9" t="str">
        <f aca="false">IF(D110="","",IFERROR(INDEX(Insumos!$D$6:$D$105,MATCH(D110,Insumos!$A$6:$A$105,0)),""))</f>
        <v/>
      </c>
      <c r="H110" s="22"/>
      <c r="I110" s="23" t="str">
        <f aca="false">IF(D110="","",IFERROR(INDEX(Insumos!$E$6:$E$105,MATCH(D110,Insumos!$A$6:$A$105,0)),0))</f>
        <v/>
      </c>
      <c r="J110" s="23" t="str">
        <f aca="false">IF(OR(D110="",H110=""),"",H110*I110)</f>
        <v/>
      </c>
    </row>
    <row r="111" customFormat="false" ht="15" hidden="false" customHeight="false" outlineLevel="0" collapsed="false">
      <c r="A111" s="17"/>
      <c r="B111" s="17"/>
      <c r="C111" s="17"/>
      <c r="D111" s="17"/>
      <c r="E111" s="9" t="str">
        <f aca="false">IF(D111="","",IFERROR(INDEX(Insumos!$B$6:$B$105,MATCH(D111,Insumos!$A$6:$A$105,0)),"No existe"))</f>
        <v/>
      </c>
      <c r="F111" s="9" t="str">
        <f aca="false">IF(D111="","",IFERROR(INDEX(Insumos!$C$6:$C$105,MATCH(D111,Insumos!$A$6:$A$105,0)),""))</f>
        <v/>
      </c>
      <c r="G111" s="9" t="str">
        <f aca="false">IF(D111="","",IFERROR(INDEX(Insumos!$D$6:$D$105,MATCH(D111,Insumos!$A$6:$A$105,0)),""))</f>
        <v/>
      </c>
      <c r="H111" s="22"/>
      <c r="I111" s="23" t="str">
        <f aca="false">IF(D111="","",IFERROR(INDEX(Insumos!$E$6:$E$105,MATCH(D111,Insumos!$A$6:$A$105,0)),0))</f>
        <v/>
      </c>
      <c r="J111" s="23" t="str">
        <f aca="false">IF(OR(D111="",H111=""),"",H111*I111)</f>
        <v/>
      </c>
    </row>
    <row r="112" customFormat="false" ht="15" hidden="false" customHeight="false" outlineLevel="0" collapsed="false">
      <c r="A112" s="17"/>
      <c r="B112" s="17"/>
      <c r="C112" s="17"/>
      <c r="D112" s="17"/>
      <c r="E112" s="9" t="str">
        <f aca="false">IF(D112="","",IFERROR(INDEX(Insumos!$B$6:$B$105,MATCH(D112,Insumos!$A$6:$A$105,0)),"No existe"))</f>
        <v/>
      </c>
      <c r="F112" s="9" t="str">
        <f aca="false">IF(D112="","",IFERROR(INDEX(Insumos!$C$6:$C$105,MATCH(D112,Insumos!$A$6:$A$105,0)),""))</f>
        <v/>
      </c>
      <c r="G112" s="9" t="str">
        <f aca="false">IF(D112="","",IFERROR(INDEX(Insumos!$D$6:$D$105,MATCH(D112,Insumos!$A$6:$A$105,0)),""))</f>
        <v/>
      </c>
      <c r="H112" s="22"/>
      <c r="I112" s="23" t="str">
        <f aca="false">IF(D112="","",IFERROR(INDEX(Insumos!$E$6:$E$105,MATCH(D112,Insumos!$A$6:$A$105,0)),0))</f>
        <v/>
      </c>
      <c r="J112" s="23" t="str">
        <f aca="false">IF(OR(D112="",H112=""),"",H112*I112)</f>
        <v/>
      </c>
    </row>
    <row r="113" customFormat="false" ht="15" hidden="false" customHeight="false" outlineLevel="0" collapsed="false">
      <c r="A113" s="17"/>
      <c r="B113" s="17"/>
      <c r="C113" s="17"/>
      <c r="D113" s="17"/>
      <c r="E113" s="9" t="str">
        <f aca="false">IF(D113="","",IFERROR(INDEX(Insumos!$B$6:$B$105,MATCH(D113,Insumos!$A$6:$A$105,0)),"No existe"))</f>
        <v/>
      </c>
      <c r="F113" s="9" t="str">
        <f aca="false">IF(D113="","",IFERROR(INDEX(Insumos!$C$6:$C$105,MATCH(D113,Insumos!$A$6:$A$105,0)),""))</f>
        <v/>
      </c>
      <c r="G113" s="9" t="str">
        <f aca="false">IF(D113="","",IFERROR(INDEX(Insumos!$D$6:$D$105,MATCH(D113,Insumos!$A$6:$A$105,0)),""))</f>
        <v/>
      </c>
      <c r="H113" s="22"/>
      <c r="I113" s="23" t="str">
        <f aca="false">IF(D113="","",IFERROR(INDEX(Insumos!$E$6:$E$105,MATCH(D113,Insumos!$A$6:$A$105,0)),0))</f>
        <v/>
      </c>
      <c r="J113" s="23" t="str">
        <f aca="false">IF(OR(D113="",H113=""),"",H113*I113)</f>
        <v/>
      </c>
    </row>
    <row r="114" customFormat="false" ht="15" hidden="false" customHeight="false" outlineLevel="0" collapsed="false">
      <c r="A114" s="17"/>
      <c r="B114" s="17"/>
      <c r="C114" s="17"/>
      <c r="D114" s="17"/>
      <c r="E114" s="9" t="str">
        <f aca="false">IF(D114="","",IFERROR(INDEX(Insumos!$B$6:$B$105,MATCH(D114,Insumos!$A$6:$A$105,0)),"No existe"))</f>
        <v/>
      </c>
      <c r="F114" s="9" t="str">
        <f aca="false">IF(D114="","",IFERROR(INDEX(Insumos!$C$6:$C$105,MATCH(D114,Insumos!$A$6:$A$105,0)),""))</f>
        <v/>
      </c>
      <c r="G114" s="9" t="str">
        <f aca="false">IF(D114="","",IFERROR(INDEX(Insumos!$D$6:$D$105,MATCH(D114,Insumos!$A$6:$A$105,0)),""))</f>
        <v/>
      </c>
      <c r="H114" s="22"/>
      <c r="I114" s="23" t="str">
        <f aca="false">IF(D114="","",IFERROR(INDEX(Insumos!$E$6:$E$105,MATCH(D114,Insumos!$A$6:$A$105,0)),0))</f>
        <v/>
      </c>
      <c r="J114" s="23" t="str">
        <f aca="false">IF(OR(D114="",H114=""),"",H114*I114)</f>
        <v/>
      </c>
    </row>
    <row r="115" customFormat="false" ht="15" hidden="false" customHeight="false" outlineLevel="0" collapsed="false">
      <c r="A115" s="17"/>
      <c r="B115" s="17"/>
      <c r="C115" s="17"/>
      <c r="D115" s="17"/>
      <c r="E115" s="9" t="str">
        <f aca="false">IF(D115="","",IFERROR(INDEX(Insumos!$B$6:$B$105,MATCH(D115,Insumos!$A$6:$A$105,0)),"No existe"))</f>
        <v/>
      </c>
      <c r="F115" s="9" t="str">
        <f aca="false">IF(D115="","",IFERROR(INDEX(Insumos!$C$6:$C$105,MATCH(D115,Insumos!$A$6:$A$105,0)),""))</f>
        <v/>
      </c>
      <c r="G115" s="9" t="str">
        <f aca="false">IF(D115="","",IFERROR(INDEX(Insumos!$D$6:$D$105,MATCH(D115,Insumos!$A$6:$A$105,0)),""))</f>
        <v/>
      </c>
      <c r="H115" s="22"/>
      <c r="I115" s="23" t="str">
        <f aca="false">IF(D115="","",IFERROR(INDEX(Insumos!$E$6:$E$105,MATCH(D115,Insumos!$A$6:$A$105,0)),0))</f>
        <v/>
      </c>
      <c r="J115" s="23" t="str">
        <f aca="false">IF(OR(D115="",H115=""),"",H115*I115)</f>
        <v/>
      </c>
    </row>
    <row r="116" customFormat="false" ht="15" hidden="false" customHeight="false" outlineLevel="0" collapsed="false">
      <c r="A116" s="17"/>
      <c r="B116" s="17"/>
      <c r="C116" s="17"/>
      <c r="D116" s="17"/>
      <c r="E116" s="9" t="str">
        <f aca="false">IF(D116="","",IFERROR(INDEX(Insumos!$B$6:$B$105,MATCH(D116,Insumos!$A$6:$A$105,0)),"No existe"))</f>
        <v/>
      </c>
      <c r="F116" s="9" t="str">
        <f aca="false">IF(D116="","",IFERROR(INDEX(Insumos!$C$6:$C$105,MATCH(D116,Insumos!$A$6:$A$105,0)),""))</f>
        <v/>
      </c>
      <c r="G116" s="9" t="str">
        <f aca="false">IF(D116="","",IFERROR(INDEX(Insumos!$D$6:$D$105,MATCH(D116,Insumos!$A$6:$A$105,0)),""))</f>
        <v/>
      </c>
      <c r="H116" s="22"/>
      <c r="I116" s="23" t="str">
        <f aca="false">IF(D116="","",IFERROR(INDEX(Insumos!$E$6:$E$105,MATCH(D116,Insumos!$A$6:$A$105,0)),0))</f>
        <v/>
      </c>
      <c r="J116" s="23" t="str">
        <f aca="false">IF(OR(D116="",H116=""),"",H116*I116)</f>
        <v/>
      </c>
    </row>
    <row r="117" customFormat="false" ht="15" hidden="false" customHeight="false" outlineLevel="0" collapsed="false">
      <c r="A117" s="17"/>
      <c r="B117" s="17"/>
      <c r="C117" s="17"/>
      <c r="D117" s="17"/>
      <c r="E117" s="9" t="str">
        <f aca="false">IF(D117="","",IFERROR(INDEX(Insumos!$B$6:$B$105,MATCH(D117,Insumos!$A$6:$A$105,0)),"No existe"))</f>
        <v/>
      </c>
      <c r="F117" s="9" t="str">
        <f aca="false">IF(D117="","",IFERROR(INDEX(Insumos!$C$6:$C$105,MATCH(D117,Insumos!$A$6:$A$105,0)),""))</f>
        <v/>
      </c>
      <c r="G117" s="9" t="str">
        <f aca="false">IF(D117="","",IFERROR(INDEX(Insumos!$D$6:$D$105,MATCH(D117,Insumos!$A$6:$A$105,0)),""))</f>
        <v/>
      </c>
      <c r="H117" s="22"/>
      <c r="I117" s="23" t="str">
        <f aca="false">IF(D117="","",IFERROR(INDEX(Insumos!$E$6:$E$105,MATCH(D117,Insumos!$A$6:$A$105,0)),0))</f>
        <v/>
      </c>
      <c r="J117" s="23" t="str">
        <f aca="false">IF(OR(D117="",H117=""),"",H117*I117)</f>
        <v/>
      </c>
    </row>
    <row r="118" customFormat="false" ht="15" hidden="false" customHeight="false" outlineLevel="0" collapsed="false">
      <c r="A118" s="17"/>
      <c r="B118" s="17"/>
      <c r="C118" s="17"/>
      <c r="D118" s="17"/>
      <c r="E118" s="9" t="str">
        <f aca="false">IF(D118="","",IFERROR(INDEX(Insumos!$B$6:$B$105,MATCH(D118,Insumos!$A$6:$A$105,0)),"No existe"))</f>
        <v/>
      </c>
      <c r="F118" s="9" t="str">
        <f aca="false">IF(D118="","",IFERROR(INDEX(Insumos!$C$6:$C$105,MATCH(D118,Insumos!$A$6:$A$105,0)),""))</f>
        <v/>
      </c>
      <c r="G118" s="9" t="str">
        <f aca="false">IF(D118="","",IFERROR(INDEX(Insumos!$D$6:$D$105,MATCH(D118,Insumos!$A$6:$A$105,0)),""))</f>
        <v/>
      </c>
      <c r="H118" s="22"/>
      <c r="I118" s="23" t="str">
        <f aca="false">IF(D118="","",IFERROR(INDEX(Insumos!$E$6:$E$105,MATCH(D118,Insumos!$A$6:$A$105,0)),0))</f>
        <v/>
      </c>
      <c r="J118" s="23" t="str">
        <f aca="false">IF(OR(D118="",H118=""),"",H118*I118)</f>
        <v/>
      </c>
    </row>
    <row r="119" customFormat="false" ht="15" hidden="false" customHeight="false" outlineLevel="0" collapsed="false">
      <c r="A119" s="17"/>
      <c r="B119" s="17"/>
      <c r="C119" s="17"/>
      <c r="D119" s="17"/>
      <c r="E119" s="9" t="str">
        <f aca="false">IF(D119="","",IFERROR(INDEX(Insumos!$B$6:$B$105,MATCH(D119,Insumos!$A$6:$A$105,0)),"No existe"))</f>
        <v/>
      </c>
      <c r="F119" s="9" t="str">
        <f aca="false">IF(D119="","",IFERROR(INDEX(Insumos!$C$6:$C$105,MATCH(D119,Insumos!$A$6:$A$105,0)),""))</f>
        <v/>
      </c>
      <c r="G119" s="9" t="str">
        <f aca="false">IF(D119="","",IFERROR(INDEX(Insumos!$D$6:$D$105,MATCH(D119,Insumos!$A$6:$A$105,0)),""))</f>
        <v/>
      </c>
      <c r="H119" s="22"/>
      <c r="I119" s="23" t="str">
        <f aca="false">IF(D119="","",IFERROR(INDEX(Insumos!$E$6:$E$105,MATCH(D119,Insumos!$A$6:$A$105,0)),0))</f>
        <v/>
      </c>
      <c r="J119" s="23" t="str">
        <f aca="false">IF(OR(D119="",H119=""),"",H119*I119)</f>
        <v/>
      </c>
    </row>
    <row r="120" customFormat="false" ht="15" hidden="false" customHeight="false" outlineLevel="0" collapsed="false">
      <c r="A120" s="17"/>
      <c r="B120" s="17"/>
      <c r="C120" s="17"/>
      <c r="D120" s="17"/>
      <c r="E120" s="9" t="str">
        <f aca="false">IF(D120="","",IFERROR(INDEX(Insumos!$B$6:$B$105,MATCH(D120,Insumos!$A$6:$A$105,0)),"No existe"))</f>
        <v/>
      </c>
      <c r="F120" s="9" t="str">
        <f aca="false">IF(D120="","",IFERROR(INDEX(Insumos!$C$6:$C$105,MATCH(D120,Insumos!$A$6:$A$105,0)),""))</f>
        <v/>
      </c>
      <c r="G120" s="9" t="str">
        <f aca="false">IF(D120="","",IFERROR(INDEX(Insumos!$D$6:$D$105,MATCH(D120,Insumos!$A$6:$A$105,0)),""))</f>
        <v/>
      </c>
      <c r="H120" s="22"/>
      <c r="I120" s="23" t="str">
        <f aca="false">IF(D120="","",IFERROR(INDEX(Insumos!$E$6:$E$105,MATCH(D120,Insumos!$A$6:$A$105,0)),0))</f>
        <v/>
      </c>
      <c r="J120" s="23" t="str">
        <f aca="false">IF(OR(D120="",H120=""),"",H120*I120)</f>
        <v/>
      </c>
    </row>
    <row r="121" customFormat="false" ht="15" hidden="false" customHeight="false" outlineLevel="0" collapsed="false">
      <c r="A121" s="17"/>
      <c r="B121" s="17"/>
      <c r="C121" s="17"/>
      <c r="D121" s="17"/>
      <c r="E121" s="9" t="str">
        <f aca="false">IF(D121="","",IFERROR(INDEX(Insumos!$B$6:$B$105,MATCH(D121,Insumos!$A$6:$A$105,0)),"No existe"))</f>
        <v/>
      </c>
      <c r="F121" s="9" t="str">
        <f aca="false">IF(D121="","",IFERROR(INDEX(Insumos!$C$6:$C$105,MATCH(D121,Insumos!$A$6:$A$105,0)),""))</f>
        <v/>
      </c>
      <c r="G121" s="9" t="str">
        <f aca="false">IF(D121="","",IFERROR(INDEX(Insumos!$D$6:$D$105,MATCH(D121,Insumos!$A$6:$A$105,0)),""))</f>
        <v/>
      </c>
      <c r="H121" s="22"/>
      <c r="I121" s="23" t="str">
        <f aca="false">IF(D121="","",IFERROR(INDEX(Insumos!$E$6:$E$105,MATCH(D121,Insumos!$A$6:$A$105,0)),0))</f>
        <v/>
      </c>
      <c r="J121" s="23" t="str">
        <f aca="false">IF(OR(D121="",H121=""),"",H121*I121)</f>
        <v/>
      </c>
    </row>
    <row r="122" customFormat="false" ht="15" hidden="false" customHeight="false" outlineLevel="0" collapsed="false">
      <c r="A122" s="17"/>
      <c r="B122" s="17"/>
      <c r="C122" s="17"/>
      <c r="D122" s="17"/>
      <c r="E122" s="9" t="str">
        <f aca="false">IF(D122="","",IFERROR(INDEX(Insumos!$B$6:$B$105,MATCH(D122,Insumos!$A$6:$A$105,0)),"No existe"))</f>
        <v/>
      </c>
      <c r="F122" s="9" t="str">
        <f aca="false">IF(D122="","",IFERROR(INDEX(Insumos!$C$6:$C$105,MATCH(D122,Insumos!$A$6:$A$105,0)),""))</f>
        <v/>
      </c>
      <c r="G122" s="9" t="str">
        <f aca="false">IF(D122="","",IFERROR(INDEX(Insumos!$D$6:$D$105,MATCH(D122,Insumos!$A$6:$A$105,0)),""))</f>
        <v/>
      </c>
      <c r="H122" s="22"/>
      <c r="I122" s="23" t="str">
        <f aca="false">IF(D122="","",IFERROR(INDEX(Insumos!$E$6:$E$105,MATCH(D122,Insumos!$A$6:$A$105,0)),0))</f>
        <v/>
      </c>
      <c r="J122" s="23" t="str">
        <f aca="false">IF(OR(D122="",H122=""),"",H122*I122)</f>
        <v/>
      </c>
    </row>
    <row r="123" customFormat="false" ht="15" hidden="false" customHeight="false" outlineLevel="0" collapsed="false">
      <c r="A123" s="17"/>
      <c r="B123" s="17"/>
      <c r="C123" s="17"/>
      <c r="D123" s="17"/>
      <c r="E123" s="9" t="str">
        <f aca="false">IF(D123="","",IFERROR(INDEX(Insumos!$B$6:$B$105,MATCH(D123,Insumos!$A$6:$A$105,0)),"No existe"))</f>
        <v/>
      </c>
      <c r="F123" s="9" t="str">
        <f aca="false">IF(D123="","",IFERROR(INDEX(Insumos!$C$6:$C$105,MATCH(D123,Insumos!$A$6:$A$105,0)),""))</f>
        <v/>
      </c>
      <c r="G123" s="9" t="str">
        <f aca="false">IF(D123="","",IFERROR(INDEX(Insumos!$D$6:$D$105,MATCH(D123,Insumos!$A$6:$A$105,0)),""))</f>
        <v/>
      </c>
      <c r="H123" s="22"/>
      <c r="I123" s="23" t="str">
        <f aca="false">IF(D123="","",IFERROR(INDEX(Insumos!$E$6:$E$105,MATCH(D123,Insumos!$A$6:$A$105,0)),0))</f>
        <v/>
      </c>
      <c r="J123" s="23" t="str">
        <f aca="false">IF(OR(D123="",H123=""),"",H123*I123)</f>
        <v/>
      </c>
    </row>
    <row r="124" customFormat="false" ht="15" hidden="false" customHeight="false" outlineLevel="0" collapsed="false">
      <c r="A124" s="17"/>
      <c r="B124" s="17"/>
      <c r="C124" s="17"/>
      <c r="D124" s="17"/>
      <c r="E124" s="9" t="str">
        <f aca="false">IF(D124="","",IFERROR(INDEX(Insumos!$B$6:$B$105,MATCH(D124,Insumos!$A$6:$A$105,0)),"No existe"))</f>
        <v/>
      </c>
      <c r="F124" s="9" t="str">
        <f aca="false">IF(D124="","",IFERROR(INDEX(Insumos!$C$6:$C$105,MATCH(D124,Insumos!$A$6:$A$105,0)),""))</f>
        <v/>
      </c>
      <c r="G124" s="9" t="str">
        <f aca="false">IF(D124="","",IFERROR(INDEX(Insumos!$D$6:$D$105,MATCH(D124,Insumos!$A$6:$A$105,0)),""))</f>
        <v/>
      </c>
      <c r="H124" s="22"/>
      <c r="I124" s="23" t="str">
        <f aca="false">IF(D124="","",IFERROR(INDEX(Insumos!$E$6:$E$105,MATCH(D124,Insumos!$A$6:$A$105,0)),0))</f>
        <v/>
      </c>
      <c r="J124" s="23" t="str">
        <f aca="false">IF(OR(D124="",H124=""),"",H124*I124)</f>
        <v/>
      </c>
    </row>
    <row r="125" customFormat="false" ht="15" hidden="false" customHeight="false" outlineLevel="0" collapsed="false">
      <c r="A125" s="17"/>
      <c r="B125" s="17"/>
      <c r="C125" s="17"/>
      <c r="D125" s="17"/>
      <c r="E125" s="9" t="str">
        <f aca="false">IF(D125="","",IFERROR(INDEX(Insumos!$B$6:$B$105,MATCH(D125,Insumos!$A$6:$A$105,0)),"No existe"))</f>
        <v/>
      </c>
      <c r="F125" s="9" t="str">
        <f aca="false">IF(D125="","",IFERROR(INDEX(Insumos!$C$6:$C$105,MATCH(D125,Insumos!$A$6:$A$105,0)),""))</f>
        <v/>
      </c>
      <c r="G125" s="9" t="str">
        <f aca="false">IF(D125="","",IFERROR(INDEX(Insumos!$D$6:$D$105,MATCH(D125,Insumos!$A$6:$A$105,0)),""))</f>
        <v/>
      </c>
      <c r="H125" s="22"/>
      <c r="I125" s="23" t="str">
        <f aca="false">IF(D125="","",IFERROR(INDEX(Insumos!$E$6:$E$105,MATCH(D125,Insumos!$A$6:$A$105,0)),0))</f>
        <v/>
      </c>
      <c r="J125" s="23" t="str">
        <f aca="false">IF(OR(D125="",H125=""),"",H125*I125)</f>
        <v/>
      </c>
    </row>
    <row r="126" customFormat="false" ht="15" hidden="false" customHeight="false" outlineLevel="0" collapsed="false">
      <c r="A126" s="17"/>
      <c r="B126" s="17"/>
      <c r="C126" s="17"/>
      <c r="D126" s="17"/>
      <c r="E126" s="9" t="str">
        <f aca="false">IF(D126="","",IFERROR(INDEX(Insumos!$B$6:$B$105,MATCH(D126,Insumos!$A$6:$A$105,0)),"No existe"))</f>
        <v/>
      </c>
      <c r="F126" s="9" t="str">
        <f aca="false">IF(D126="","",IFERROR(INDEX(Insumos!$C$6:$C$105,MATCH(D126,Insumos!$A$6:$A$105,0)),""))</f>
        <v/>
      </c>
      <c r="G126" s="9" t="str">
        <f aca="false">IF(D126="","",IFERROR(INDEX(Insumos!$D$6:$D$105,MATCH(D126,Insumos!$A$6:$A$105,0)),""))</f>
        <v/>
      </c>
      <c r="H126" s="22"/>
      <c r="I126" s="23" t="str">
        <f aca="false">IF(D126="","",IFERROR(INDEX(Insumos!$E$6:$E$105,MATCH(D126,Insumos!$A$6:$A$105,0)),0))</f>
        <v/>
      </c>
      <c r="J126" s="23" t="str">
        <f aca="false">IF(OR(D126="",H126=""),"",H126*I126)</f>
        <v/>
      </c>
    </row>
    <row r="127" customFormat="false" ht="15" hidden="false" customHeight="false" outlineLevel="0" collapsed="false">
      <c r="A127" s="17"/>
      <c r="B127" s="17"/>
      <c r="C127" s="17"/>
      <c r="D127" s="17"/>
      <c r="E127" s="9" t="str">
        <f aca="false">IF(D127="","",IFERROR(INDEX(Insumos!$B$6:$B$105,MATCH(D127,Insumos!$A$6:$A$105,0)),"No existe"))</f>
        <v/>
      </c>
      <c r="F127" s="9" t="str">
        <f aca="false">IF(D127="","",IFERROR(INDEX(Insumos!$C$6:$C$105,MATCH(D127,Insumos!$A$6:$A$105,0)),""))</f>
        <v/>
      </c>
      <c r="G127" s="9" t="str">
        <f aca="false">IF(D127="","",IFERROR(INDEX(Insumos!$D$6:$D$105,MATCH(D127,Insumos!$A$6:$A$105,0)),""))</f>
        <v/>
      </c>
      <c r="H127" s="22"/>
      <c r="I127" s="23" t="str">
        <f aca="false">IF(D127="","",IFERROR(INDEX(Insumos!$E$6:$E$105,MATCH(D127,Insumos!$A$6:$A$105,0)),0))</f>
        <v/>
      </c>
      <c r="J127" s="23" t="str">
        <f aca="false">IF(OR(D127="",H127=""),"",H127*I127)</f>
        <v/>
      </c>
    </row>
    <row r="128" customFormat="false" ht="15" hidden="false" customHeight="false" outlineLevel="0" collapsed="false">
      <c r="A128" s="17"/>
      <c r="B128" s="17"/>
      <c r="C128" s="17"/>
      <c r="D128" s="17"/>
      <c r="E128" s="9" t="str">
        <f aca="false">IF(D128="","",IFERROR(INDEX(Insumos!$B$6:$B$105,MATCH(D128,Insumos!$A$6:$A$105,0)),"No existe"))</f>
        <v/>
      </c>
      <c r="F128" s="9" t="str">
        <f aca="false">IF(D128="","",IFERROR(INDEX(Insumos!$C$6:$C$105,MATCH(D128,Insumos!$A$6:$A$105,0)),""))</f>
        <v/>
      </c>
      <c r="G128" s="9" t="str">
        <f aca="false">IF(D128="","",IFERROR(INDEX(Insumos!$D$6:$D$105,MATCH(D128,Insumos!$A$6:$A$105,0)),""))</f>
        <v/>
      </c>
      <c r="H128" s="22"/>
      <c r="I128" s="23" t="str">
        <f aca="false">IF(D128="","",IFERROR(INDEX(Insumos!$E$6:$E$105,MATCH(D128,Insumos!$A$6:$A$105,0)),0))</f>
        <v/>
      </c>
      <c r="J128" s="23" t="str">
        <f aca="false">IF(OR(D128="",H128=""),"",H128*I128)</f>
        <v/>
      </c>
    </row>
    <row r="129" customFormat="false" ht="15" hidden="false" customHeight="false" outlineLevel="0" collapsed="false">
      <c r="A129" s="17"/>
      <c r="B129" s="17"/>
      <c r="C129" s="17"/>
      <c r="D129" s="17"/>
      <c r="E129" s="9" t="str">
        <f aca="false">IF(D129="","",IFERROR(INDEX(Insumos!$B$6:$B$105,MATCH(D129,Insumos!$A$6:$A$105,0)),"No existe"))</f>
        <v/>
      </c>
      <c r="F129" s="9" t="str">
        <f aca="false">IF(D129="","",IFERROR(INDEX(Insumos!$C$6:$C$105,MATCH(D129,Insumos!$A$6:$A$105,0)),""))</f>
        <v/>
      </c>
      <c r="G129" s="9" t="str">
        <f aca="false">IF(D129="","",IFERROR(INDEX(Insumos!$D$6:$D$105,MATCH(D129,Insumos!$A$6:$A$105,0)),""))</f>
        <v/>
      </c>
      <c r="H129" s="22"/>
      <c r="I129" s="23" t="str">
        <f aca="false">IF(D129="","",IFERROR(INDEX(Insumos!$E$6:$E$105,MATCH(D129,Insumos!$A$6:$A$105,0)),0))</f>
        <v/>
      </c>
      <c r="J129" s="23" t="str">
        <f aca="false">IF(OR(D129="",H129=""),"",H129*I129)</f>
        <v/>
      </c>
    </row>
    <row r="130" customFormat="false" ht="15" hidden="false" customHeight="false" outlineLevel="0" collapsed="false">
      <c r="A130" s="17"/>
      <c r="B130" s="17"/>
      <c r="C130" s="17"/>
      <c r="D130" s="17"/>
      <c r="E130" s="9" t="str">
        <f aca="false">IF(D130="","",IFERROR(INDEX(Insumos!$B$6:$B$105,MATCH(D130,Insumos!$A$6:$A$105,0)),"No existe"))</f>
        <v/>
      </c>
      <c r="F130" s="9" t="str">
        <f aca="false">IF(D130="","",IFERROR(INDEX(Insumos!$C$6:$C$105,MATCH(D130,Insumos!$A$6:$A$105,0)),""))</f>
        <v/>
      </c>
      <c r="G130" s="9" t="str">
        <f aca="false">IF(D130="","",IFERROR(INDEX(Insumos!$D$6:$D$105,MATCH(D130,Insumos!$A$6:$A$105,0)),""))</f>
        <v/>
      </c>
      <c r="H130" s="22"/>
      <c r="I130" s="23" t="str">
        <f aca="false">IF(D130="","",IFERROR(INDEX(Insumos!$E$6:$E$105,MATCH(D130,Insumos!$A$6:$A$105,0)),0))</f>
        <v/>
      </c>
      <c r="J130" s="23" t="str">
        <f aca="false">IF(OR(D130="",H130=""),"",H130*I130)</f>
        <v/>
      </c>
    </row>
    <row r="131" customFormat="false" ht="15" hidden="false" customHeight="false" outlineLevel="0" collapsed="false">
      <c r="A131" s="17"/>
      <c r="B131" s="17"/>
      <c r="C131" s="17"/>
      <c r="D131" s="17"/>
      <c r="E131" s="9" t="str">
        <f aca="false">IF(D131="","",IFERROR(INDEX(Insumos!$B$6:$B$105,MATCH(D131,Insumos!$A$6:$A$105,0)),"No existe"))</f>
        <v/>
      </c>
      <c r="F131" s="9" t="str">
        <f aca="false">IF(D131="","",IFERROR(INDEX(Insumos!$C$6:$C$105,MATCH(D131,Insumos!$A$6:$A$105,0)),""))</f>
        <v/>
      </c>
      <c r="G131" s="9" t="str">
        <f aca="false">IF(D131="","",IFERROR(INDEX(Insumos!$D$6:$D$105,MATCH(D131,Insumos!$A$6:$A$105,0)),""))</f>
        <v/>
      </c>
      <c r="H131" s="22"/>
      <c r="I131" s="23" t="str">
        <f aca="false">IF(D131="","",IFERROR(INDEX(Insumos!$E$6:$E$105,MATCH(D131,Insumos!$A$6:$A$105,0)),0))</f>
        <v/>
      </c>
      <c r="J131" s="23" t="str">
        <f aca="false">IF(OR(D131="",H131=""),"",H131*I131)</f>
        <v/>
      </c>
    </row>
    <row r="132" customFormat="false" ht="15" hidden="false" customHeight="false" outlineLevel="0" collapsed="false">
      <c r="A132" s="17"/>
      <c r="B132" s="17"/>
      <c r="C132" s="17"/>
      <c r="D132" s="17"/>
      <c r="E132" s="9" t="str">
        <f aca="false">IF(D132="","",IFERROR(INDEX(Insumos!$B$6:$B$105,MATCH(D132,Insumos!$A$6:$A$105,0)),"No existe"))</f>
        <v/>
      </c>
      <c r="F132" s="9" t="str">
        <f aca="false">IF(D132="","",IFERROR(INDEX(Insumos!$C$6:$C$105,MATCH(D132,Insumos!$A$6:$A$105,0)),""))</f>
        <v/>
      </c>
      <c r="G132" s="9" t="str">
        <f aca="false">IF(D132="","",IFERROR(INDEX(Insumos!$D$6:$D$105,MATCH(D132,Insumos!$A$6:$A$105,0)),""))</f>
        <v/>
      </c>
      <c r="H132" s="22"/>
      <c r="I132" s="23" t="str">
        <f aca="false">IF(D132="","",IFERROR(INDEX(Insumos!$E$6:$E$105,MATCH(D132,Insumos!$A$6:$A$105,0)),0))</f>
        <v/>
      </c>
      <c r="J132" s="23" t="str">
        <f aca="false">IF(OR(D132="",H132=""),"",H132*I132)</f>
        <v/>
      </c>
    </row>
    <row r="133" customFormat="false" ht="15" hidden="false" customHeight="false" outlineLevel="0" collapsed="false">
      <c r="A133" s="17"/>
      <c r="B133" s="17"/>
      <c r="C133" s="17"/>
      <c r="D133" s="17"/>
      <c r="E133" s="9" t="str">
        <f aca="false">IF(D133="","",IFERROR(INDEX(Insumos!$B$6:$B$105,MATCH(D133,Insumos!$A$6:$A$105,0)),"No existe"))</f>
        <v/>
      </c>
      <c r="F133" s="9" t="str">
        <f aca="false">IF(D133="","",IFERROR(INDEX(Insumos!$C$6:$C$105,MATCH(D133,Insumos!$A$6:$A$105,0)),""))</f>
        <v/>
      </c>
      <c r="G133" s="9" t="str">
        <f aca="false">IF(D133="","",IFERROR(INDEX(Insumos!$D$6:$D$105,MATCH(D133,Insumos!$A$6:$A$105,0)),""))</f>
        <v/>
      </c>
      <c r="H133" s="22"/>
      <c r="I133" s="23" t="str">
        <f aca="false">IF(D133="","",IFERROR(INDEX(Insumos!$E$6:$E$105,MATCH(D133,Insumos!$A$6:$A$105,0)),0))</f>
        <v/>
      </c>
      <c r="J133" s="23" t="str">
        <f aca="false">IF(OR(D133="",H133=""),"",H133*I133)</f>
        <v/>
      </c>
    </row>
    <row r="134" customFormat="false" ht="15" hidden="false" customHeight="false" outlineLevel="0" collapsed="false">
      <c r="A134" s="17"/>
      <c r="B134" s="17"/>
      <c r="C134" s="17"/>
      <c r="D134" s="17"/>
      <c r="E134" s="9" t="str">
        <f aca="false">IF(D134="","",IFERROR(INDEX(Insumos!$B$6:$B$105,MATCH(D134,Insumos!$A$6:$A$105,0)),"No existe"))</f>
        <v/>
      </c>
      <c r="F134" s="9" t="str">
        <f aca="false">IF(D134="","",IFERROR(INDEX(Insumos!$C$6:$C$105,MATCH(D134,Insumos!$A$6:$A$105,0)),""))</f>
        <v/>
      </c>
      <c r="G134" s="9" t="str">
        <f aca="false">IF(D134="","",IFERROR(INDEX(Insumos!$D$6:$D$105,MATCH(D134,Insumos!$A$6:$A$105,0)),""))</f>
        <v/>
      </c>
      <c r="H134" s="22"/>
      <c r="I134" s="23" t="str">
        <f aca="false">IF(D134="","",IFERROR(INDEX(Insumos!$E$6:$E$105,MATCH(D134,Insumos!$A$6:$A$105,0)),0))</f>
        <v/>
      </c>
      <c r="J134" s="23" t="str">
        <f aca="false">IF(OR(D134="",H134=""),"",H134*I134)</f>
        <v/>
      </c>
    </row>
    <row r="135" customFormat="false" ht="15" hidden="false" customHeight="false" outlineLevel="0" collapsed="false">
      <c r="A135" s="17"/>
      <c r="B135" s="17"/>
      <c r="C135" s="17"/>
      <c r="D135" s="17"/>
      <c r="E135" s="9" t="str">
        <f aca="false">IF(D135="","",IFERROR(INDEX(Insumos!$B$6:$B$105,MATCH(D135,Insumos!$A$6:$A$105,0)),"No existe"))</f>
        <v/>
      </c>
      <c r="F135" s="9" t="str">
        <f aca="false">IF(D135="","",IFERROR(INDEX(Insumos!$C$6:$C$105,MATCH(D135,Insumos!$A$6:$A$105,0)),""))</f>
        <v/>
      </c>
      <c r="G135" s="9" t="str">
        <f aca="false">IF(D135="","",IFERROR(INDEX(Insumos!$D$6:$D$105,MATCH(D135,Insumos!$A$6:$A$105,0)),""))</f>
        <v/>
      </c>
      <c r="H135" s="22"/>
      <c r="I135" s="23" t="str">
        <f aca="false">IF(D135="","",IFERROR(INDEX(Insumos!$E$6:$E$105,MATCH(D135,Insumos!$A$6:$A$105,0)),0))</f>
        <v/>
      </c>
      <c r="J135" s="23" t="str">
        <f aca="false">IF(OR(D135="",H135=""),"",H135*I135)</f>
        <v/>
      </c>
    </row>
    <row r="136" customFormat="false" ht="15" hidden="false" customHeight="false" outlineLevel="0" collapsed="false">
      <c r="A136" s="17"/>
      <c r="B136" s="17"/>
      <c r="C136" s="17"/>
      <c r="D136" s="17"/>
      <c r="E136" s="9" t="str">
        <f aca="false">IF(D136="","",IFERROR(INDEX(Insumos!$B$6:$B$105,MATCH(D136,Insumos!$A$6:$A$105,0)),"No existe"))</f>
        <v/>
      </c>
      <c r="F136" s="9" t="str">
        <f aca="false">IF(D136="","",IFERROR(INDEX(Insumos!$C$6:$C$105,MATCH(D136,Insumos!$A$6:$A$105,0)),""))</f>
        <v/>
      </c>
      <c r="G136" s="9" t="str">
        <f aca="false">IF(D136="","",IFERROR(INDEX(Insumos!$D$6:$D$105,MATCH(D136,Insumos!$A$6:$A$105,0)),""))</f>
        <v/>
      </c>
      <c r="H136" s="22"/>
      <c r="I136" s="23" t="str">
        <f aca="false">IF(D136="","",IFERROR(INDEX(Insumos!$E$6:$E$105,MATCH(D136,Insumos!$A$6:$A$105,0)),0))</f>
        <v/>
      </c>
      <c r="J136" s="23" t="str">
        <f aca="false">IF(OR(D136="",H136=""),"",H136*I136)</f>
        <v/>
      </c>
    </row>
    <row r="137" customFormat="false" ht="15" hidden="false" customHeight="false" outlineLevel="0" collapsed="false">
      <c r="A137" s="17"/>
      <c r="B137" s="17"/>
      <c r="C137" s="17"/>
      <c r="D137" s="17"/>
      <c r="E137" s="9" t="str">
        <f aca="false">IF(D137="","",IFERROR(INDEX(Insumos!$B$6:$B$105,MATCH(D137,Insumos!$A$6:$A$105,0)),"No existe"))</f>
        <v/>
      </c>
      <c r="F137" s="9" t="str">
        <f aca="false">IF(D137="","",IFERROR(INDEX(Insumos!$C$6:$C$105,MATCH(D137,Insumos!$A$6:$A$105,0)),""))</f>
        <v/>
      </c>
      <c r="G137" s="9" t="str">
        <f aca="false">IF(D137="","",IFERROR(INDEX(Insumos!$D$6:$D$105,MATCH(D137,Insumos!$A$6:$A$105,0)),""))</f>
        <v/>
      </c>
      <c r="H137" s="22"/>
      <c r="I137" s="23" t="str">
        <f aca="false">IF(D137="","",IFERROR(INDEX(Insumos!$E$6:$E$105,MATCH(D137,Insumos!$A$6:$A$105,0)),0))</f>
        <v/>
      </c>
      <c r="J137" s="23" t="str">
        <f aca="false">IF(OR(D137="",H137=""),"",H137*I137)</f>
        <v/>
      </c>
    </row>
    <row r="138" customFormat="false" ht="15" hidden="false" customHeight="false" outlineLevel="0" collapsed="false">
      <c r="A138" s="17"/>
      <c r="B138" s="17"/>
      <c r="C138" s="17"/>
      <c r="D138" s="17"/>
      <c r="E138" s="9" t="str">
        <f aca="false">IF(D138="","",IFERROR(INDEX(Insumos!$B$6:$B$105,MATCH(D138,Insumos!$A$6:$A$105,0)),"No existe"))</f>
        <v/>
      </c>
      <c r="F138" s="9" t="str">
        <f aca="false">IF(D138="","",IFERROR(INDEX(Insumos!$C$6:$C$105,MATCH(D138,Insumos!$A$6:$A$105,0)),""))</f>
        <v/>
      </c>
      <c r="G138" s="9" t="str">
        <f aca="false">IF(D138="","",IFERROR(INDEX(Insumos!$D$6:$D$105,MATCH(D138,Insumos!$A$6:$A$105,0)),""))</f>
        <v/>
      </c>
      <c r="H138" s="22"/>
      <c r="I138" s="23" t="str">
        <f aca="false">IF(D138="","",IFERROR(INDEX(Insumos!$E$6:$E$105,MATCH(D138,Insumos!$A$6:$A$105,0)),0))</f>
        <v/>
      </c>
      <c r="J138" s="23" t="str">
        <f aca="false">IF(OR(D138="",H138=""),"",H138*I138)</f>
        <v/>
      </c>
    </row>
    <row r="139" customFormat="false" ht="15" hidden="false" customHeight="false" outlineLevel="0" collapsed="false">
      <c r="A139" s="17"/>
      <c r="B139" s="17"/>
      <c r="C139" s="17"/>
      <c r="D139" s="17"/>
      <c r="E139" s="9" t="str">
        <f aca="false">IF(D139="","",IFERROR(INDEX(Insumos!$B$6:$B$105,MATCH(D139,Insumos!$A$6:$A$105,0)),"No existe"))</f>
        <v/>
      </c>
      <c r="F139" s="9" t="str">
        <f aca="false">IF(D139="","",IFERROR(INDEX(Insumos!$C$6:$C$105,MATCH(D139,Insumos!$A$6:$A$105,0)),""))</f>
        <v/>
      </c>
      <c r="G139" s="9" t="str">
        <f aca="false">IF(D139="","",IFERROR(INDEX(Insumos!$D$6:$D$105,MATCH(D139,Insumos!$A$6:$A$105,0)),""))</f>
        <v/>
      </c>
      <c r="H139" s="22"/>
      <c r="I139" s="23" t="str">
        <f aca="false">IF(D139="","",IFERROR(INDEX(Insumos!$E$6:$E$105,MATCH(D139,Insumos!$A$6:$A$105,0)),0))</f>
        <v/>
      </c>
      <c r="J139" s="23" t="str">
        <f aca="false">IF(OR(D139="",H139=""),"",H139*I139)</f>
        <v/>
      </c>
    </row>
    <row r="140" customFormat="false" ht="15" hidden="false" customHeight="false" outlineLevel="0" collapsed="false">
      <c r="A140" s="17"/>
      <c r="B140" s="17"/>
      <c r="C140" s="17"/>
      <c r="D140" s="17"/>
      <c r="E140" s="9" t="str">
        <f aca="false">IF(D140="","",IFERROR(INDEX(Insumos!$B$6:$B$105,MATCH(D140,Insumos!$A$6:$A$105,0)),"No existe"))</f>
        <v/>
      </c>
      <c r="F140" s="9" t="str">
        <f aca="false">IF(D140="","",IFERROR(INDEX(Insumos!$C$6:$C$105,MATCH(D140,Insumos!$A$6:$A$105,0)),""))</f>
        <v/>
      </c>
      <c r="G140" s="9" t="str">
        <f aca="false">IF(D140="","",IFERROR(INDEX(Insumos!$D$6:$D$105,MATCH(D140,Insumos!$A$6:$A$105,0)),""))</f>
        <v/>
      </c>
      <c r="H140" s="22"/>
      <c r="I140" s="23" t="str">
        <f aca="false">IF(D140="","",IFERROR(INDEX(Insumos!$E$6:$E$105,MATCH(D140,Insumos!$A$6:$A$105,0)),0))</f>
        <v/>
      </c>
      <c r="J140" s="23" t="str">
        <f aca="false">IF(OR(D140="",H140=""),"",H140*I140)</f>
        <v/>
      </c>
    </row>
    <row r="141" customFormat="false" ht="15" hidden="false" customHeight="false" outlineLevel="0" collapsed="false">
      <c r="A141" s="17"/>
      <c r="B141" s="17"/>
      <c r="C141" s="17"/>
      <c r="D141" s="17"/>
      <c r="E141" s="9" t="str">
        <f aca="false">IF(D141="","",IFERROR(INDEX(Insumos!$B$6:$B$105,MATCH(D141,Insumos!$A$6:$A$105,0)),"No existe"))</f>
        <v/>
      </c>
      <c r="F141" s="9" t="str">
        <f aca="false">IF(D141="","",IFERROR(INDEX(Insumos!$C$6:$C$105,MATCH(D141,Insumos!$A$6:$A$105,0)),""))</f>
        <v/>
      </c>
      <c r="G141" s="9" t="str">
        <f aca="false">IF(D141="","",IFERROR(INDEX(Insumos!$D$6:$D$105,MATCH(D141,Insumos!$A$6:$A$105,0)),""))</f>
        <v/>
      </c>
      <c r="H141" s="22"/>
      <c r="I141" s="23" t="str">
        <f aca="false">IF(D141="","",IFERROR(INDEX(Insumos!$E$6:$E$105,MATCH(D141,Insumos!$A$6:$A$105,0)),0))</f>
        <v/>
      </c>
      <c r="J141" s="23" t="str">
        <f aca="false">IF(OR(D141="",H141=""),"",H141*I141)</f>
        <v/>
      </c>
    </row>
    <row r="142" customFormat="false" ht="15" hidden="false" customHeight="false" outlineLevel="0" collapsed="false">
      <c r="A142" s="17"/>
      <c r="B142" s="17"/>
      <c r="C142" s="17"/>
      <c r="D142" s="17"/>
      <c r="E142" s="9" t="str">
        <f aca="false">IF(D142="","",IFERROR(INDEX(Insumos!$B$6:$B$105,MATCH(D142,Insumos!$A$6:$A$105,0)),"No existe"))</f>
        <v/>
      </c>
      <c r="F142" s="9" t="str">
        <f aca="false">IF(D142="","",IFERROR(INDEX(Insumos!$C$6:$C$105,MATCH(D142,Insumos!$A$6:$A$105,0)),""))</f>
        <v/>
      </c>
      <c r="G142" s="9" t="str">
        <f aca="false">IF(D142="","",IFERROR(INDEX(Insumos!$D$6:$D$105,MATCH(D142,Insumos!$A$6:$A$105,0)),""))</f>
        <v/>
      </c>
      <c r="H142" s="22"/>
      <c r="I142" s="23" t="str">
        <f aca="false">IF(D142="","",IFERROR(INDEX(Insumos!$E$6:$E$105,MATCH(D142,Insumos!$A$6:$A$105,0)),0))</f>
        <v/>
      </c>
      <c r="J142" s="23" t="str">
        <f aca="false">IF(OR(D142="",H142=""),"",H142*I142)</f>
        <v/>
      </c>
    </row>
    <row r="143" customFormat="false" ht="15" hidden="false" customHeight="false" outlineLevel="0" collapsed="false">
      <c r="A143" s="17"/>
      <c r="B143" s="17"/>
      <c r="C143" s="17"/>
      <c r="D143" s="17"/>
      <c r="E143" s="9" t="str">
        <f aca="false">IF(D143="","",IFERROR(INDEX(Insumos!$B$6:$B$105,MATCH(D143,Insumos!$A$6:$A$105,0)),"No existe"))</f>
        <v/>
      </c>
      <c r="F143" s="9" t="str">
        <f aca="false">IF(D143="","",IFERROR(INDEX(Insumos!$C$6:$C$105,MATCH(D143,Insumos!$A$6:$A$105,0)),""))</f>
        <v/>
      </c>
      <c r="G143" s="9" t="str">
        <f aca="false">IF(D143="","",IFERROR(INDEX(Insumos!$D$6:$D$105,MATCH(D143,Insumos!$A$6:$A$105,0)),""))</f>
        <v/>
      </c>
      <c r="H143" s="22"/>
      <c r="I143" s="23" t="str">
        <f aca="false">IF(D143="","",IFERROR(INDEX(Insumos!$E$6:$E$105,MATCH(D143,Insumos!$A$6:$A$105,0)),0))</f>
        <v/>
      </c>
      <c r="J143" s="23" t="str">
        <f aca="false">IF(OR(D143="",H143=""),"",H143*I143)</f>
        <v/>
      </c>
    </row>
    <row r="144" customFormat="false" ht="15" hidden="false" customHeight="false" outlineLevel="0" collapsed="false">
      <c r="A144" s="17"/>
      <c r="B144" s="17"/>
      <c r="C144" s="17"/>
      <c r="D144" s="17"/>
      <c r="E144" s="9" t="str">
        <f aca="false">IF(D144="","",IFERROR(INDEX(Insumos!$B$6:$B$105,MATCH(D144,Insumos!$A$6:$A$105,0)),"No existe"))</f>
        <v/>
      </c>
      <c r="F144" s="9" t="str">
        <f aca="false">IF(D144="","",IFERROR(INDEX(Insumos!$C$6:$C$105,MATCH(D144,Insumos!$A$6:$A$105,0)),""))</f>
        <v/>
      </c>
      <c r="G144" s="9" t="str">
        <f aca="false">IF(D144="","",IFERROR(INDEX(Insumos!$D$6:$D$105,MATCH(D144,Insumos!$A$6:$A$105,0)),""))</f>
        <v/>
      </c>
      <c r="H144" s="22"/>
      <c r="I144" s="23" t="str">
        <f aca="false">IF(D144="","",IFERROR(INDEX(Insumos!$E$6:$E$105,MATCH(D144,Insumos!$A$6:$A$105,0)),0))</f>
        <v/>
      </c>
      <c r="J144" s="23" t="str">
        <f aca="false">IF(OR(D144="",H144=""),"",H144*I144)</f>
        <v/>
      </c>
    </row>
    <row r="145" customFormat="false" ht="15" hidden="false" customHeight="false" outlineLevel="0" collapsed="false">
      <c r="A145" s="17"/>
      <c r="B145" s="17"/>
      <c r="C145" s="17"/>
      <c r="D145" s="17"/>
      <c r="E145" s="9" t="str">
        <f aca="false">IF(D145="","",IFERROR(INDEX(Insumos!$B$6:$B$105,MATCH(D145,Insumos!$A$6:$A$105,0)),"No existe"))</f>
        <v/>
      </c>
      <c r="F145" s="9" t="str">
        <f aca="false">IF(D145="","",IFERROR(INDEX(Insumos!$C$6:$C$105,MATCH(D145,Insumos!$A$6:$A$105,0)),""))</f>
        <v/>
      </c>
      <c r="G145" s="9" t="str">
        <f aca="false">IF(D145="","",IFERROR(INDEX(Insumos!$D$6:$D$105,MATCH(D145,Insumos!$A$6:$A$105,0)),""))</f>
        <v/>
      </c>
      <c r="H145" s="22"/>
      <c r="I145" s="23" t="str">
        <f aca="false">IF(D145="","",IFERROR(INDEX(Insumos!$E$6:$E$105,MATCH(D145,Insumos!$A$6:$A$105,0)),0))</f>
        <v/>
      </c>
      <c r="J145" s="23" t="str">
        <f aca="false">IF(OR(D145="",H145=""),"",H145*I145)</f>
        <v/>
      </c>
    </row>
    <row r="146" customFormat="false" ht="15" hidden="false" customHeight="false" outlineLevel="0" collapsed="false">
      <c r="A146" s="17"/>
      <c r="B146" s="17"/>
      <c r="C146" s="17"/>
      <c r="D146" s="17"/>
      <c r="E146" s="9" t="str">
        <f aca="false">IF(D146="","",IFERROR(INDEX(Insumos!$B$6:$B$105,MATCH(D146,Insumos!$A$6:$A$105,0)),"No existe"))</f>
        <v/>
      </c>
      <c r="F146" s="9" t="str">
        <f aca="false">IF(D146="","",IFERROR(INDEX(Insumos!$C$6:$C$105,MATCH(D146,Insumos!$A$6:$A$105,0)),""))</f>
        <v/>
      </c>
      <c r="G146" s="9" t="str">
        <f aca="false">IF(D146="","",IFERROR(INDEX(Insumos!$D$6:$D$105,MATCH(D146,Insumos!$A$6:$A$105,0)),""))</f>
        <v/>
      </c>
      <c r="H146" s="22"/>
      <c r="I146" s="23" t="str">
        <f aca="false">IF(D146="","",IFERROR(INDEX(Insumos!$E$6:$E$105,MATCH(D146,Insumos!$A$6:$A$105,0)),0))</f>
        <v/>
      </c>
      <c r="J146" s="23" t="str">
        <f aca="false">IF(OR(D146="",H146=""),"",H146*I146)</f>
        <v/>
      </c>
    </row>
    <row r="147" customFormat="false" ht="15" hidden="false" customHeight="false" outlineLevel="0" collapsed="false">
      <c r="A147" s="17"/>
      <c r="B147" s="17"/>
      <c r="C147" s="17"/>
      <c r="D147" s="17"/>
      <c r="E147" s="9" t="str">
        <f aca="false">IF(D147="","",IFERROR(INDEX(Insumos!$B$6:$B$105,MATCH(D147,Insumos!$A$6:$A$105,0)),"No existe"))</f>
        <v/>
      </c>
      <c r="F147" s="9" t="str">
        <f aca="false">IF(D147="","",IFERROR(INDEX(Insumos!$C$6:$C$105,MATCH(D147,Insumos!$A$6:$A$105,0)),""))</f>
        <v/>
      </c>
      <c r="G147" s="9" t="str">
        <f aca="false">IF(D147="","",IFERROR(INDEX(Insumos!$D$6:$D$105,MATCH(D147,Insumos!$A$6:$A$105,0)),""))</f>
        <v/>
      </c>
      <c r="H147" s="22"/>
      <c r="I147" s="23" t="str">
        <f aca="false">IF(D147="","",IFERROR(INDEX(Insumos!$E$6:$E$105,MATCH(D147,Insumos!$A$6:$A$105,0)),0))</f>
        <v/>
      </c>
      <c r="J147" s="23" t="str">
        <f aca="false">IF(OR(D147="",H147=""),"",H147*I147)</f>
        <v/>
      </c>
    </row>
    <row r="148" customFormat="false" ht="15" hidden="false" customHeight="false" outlineLevel="0" collapsed="false">
      <c r="A148" s="17"/>
      <c r="B148" s="17"/>
      <c r="C148" s="17"/>
      <c r="D148" s="17"/>
      <c r="E148" s="9" t="str">
        <f aca="false">IF(D148="","",IFERROR(INDEX(Insumos!$B$6:$B$105,MATCH(D148,Insumos!$A$6:$A$105,0)),"No existe"))</f>
        <v/>
      </c>
      <c r="F148" s="9" t="str">
        <f aca="false">IF(D148="","",IFERROR(INDEX(Insumos!$C$6:$C$105,MATCH(D148,Insumos!$A$6:$A$105,0)),""))</f>
        <v/>
      </c>
      <c r="G148" s="9" t="str">
        <f aca="false">IF(D148="","",IFERROR(INDEX(Insumos!$D$6:$D$105,MATCH(D148,Insumos!$A$6:$A$105,0)),""))</f>
        <v/>
      </c>
      <c r="H148" s="22"/>
      <c r="I148" s="23" t="str">
        <f aca="false">IF(D148="","",IFERROR(INDEX(Insumos!$E$6:$E$105,MATCH(D148,Insumos!$A$6:$A$105,0)),0))</f>
        <v/>
      </c>
      <c r="J148" s="23" t="str">
        <f aca="false">IF(OR(D148="",H148=""),"",H148*I148)</f>
        <v/>
      </c>
    </row>
    <row r="149" customFormat="false" ht="15" hidden="false" customHeight="false" outlineLevel="0" collapsed="false">
      <c r="A149" s="17"/>
      <c r="B149" s="17"/>
      <c r="C149" s="17"/>
      <c r="D149" s="17"/>
      <c r="E149" s="9" t="str">
        <f aca="false">IF(D149="","",IFERROR(INDEX(Insumos!$B$6:$B$105,MATCH(D149,Insumos!$A$6:$A$105,0)),"No existe"))</f>
        <v/>
      </c>
      <c r="F149" s="9" t="str">
        <f aca="false">IF(D149="","",IFERROR(INDEX(Insumos!$C$6:$C$105,MATCH(D149,Insumos!$A$6:$A$105,0)),""))</f>
        <v/>
      </c>
      <c r="G149" s="9" t="str">
        <f aca="false">IF(D149="","",IFERROR(INDEX(Insumos!$D$6:$D$105,MATCH(D149,Insumos!$A$6:$A$105,0)),""))</f>
        <v/>
      </c>
      <c r="H149" s="22"/>
      <c r="I149" s="23" t="str">
        <f aca="false">IF(D149="","",IFERROR(INDEX(Insumos!$E$6:$E$105,MATCH(D149,Insumos!$A$6:$A$105,0)),0))</f>
        <v/>
      </c>
      <c r="J149" s="23" t="str">
        <f aca="false">IF(OR(D149="",H149=""),"",H149*I149)</f>
        <v/>
      </c>
    </row>
    <row r="150" customFormat="false" ht="15" hidden="false" customHeight="false" outlineLevel="0" collapsed="false">
      <c r="A150" s="17"/>
      <c r="B150" s="17"/>
      <c r="C150" s="17"/>
      <c r="D150" s="17"/>
      <c r="E150" s="9" t="str">
        <f aca="false">IF(D150="","",IFERROR(INDEX(Insumos!$B$6:$B$105,MATCH(D150,Insumos!$A$6:$A$105,0)),"No existe"))</f>
        <v/>
      </c>
      <c r="F150" s="9" t="str">
        <f aca="false">IF(D150="","",IFERROR(INDEX(Insumos!$C$6:$C$105,MATCH(D150,Insumos!$A$6:$A$105,0)),""))</f>
        <v/>
      </c>
      <c r="G150" s="9" t="str">
        <f aca="false">IF(D150="","",IFERROR(INDEX(Insumos!$D$6:$D$105,MATCH(D150,Insumos!$A$6:$A$105,0)),""))</f>
        <v/>
      </c>
      <c r="H150" s="22"/>
      <c r="I150" s="23" t="str">
        <f aca="false">IF(D150="","",IFERROR(INDEX(Insumos!$E$6:$E$105,MATCH(D150,Insumos!$A$6:$A$105,0)),0))</f>
        <v/>
      </c>
      <c r="J150" s="23" t="str">
        <f aca="false">IF(OR(D150="",H150=""),"",H150*I150)</f>
        <v/>
      </c>
    </row>
    <row r="151" customFormat="false" ht="15" hidden="false" customHeight="false" outlineLevel="0" collapsed="false">
      <c r="A151" s="17"/>
      <c r="B151" s="17"/>
      <c r="C151" s="17"/>
      <c r="D151" s="17"/>
      <c r="E151" s="9" t="str">
        <f aca="false">IF(D151="","",IFERROR(INDEX(Insumos!$B$6:$B$105,MATCH(D151,Insumos!$A$6:$A$105,0)),"No existe"))</f>
        <v/>
      </c>
      <c r="F151" s="9" t="str">
        <f aca="false">IF(D151="","",IFERROR(INDEX(Insumos!$C$6:$C$105,MATCH(D151,Insumos!$A$6:$A$105,0)),""))</f>
        <v/>
      </c>
      <c r="G151" s="9" t="str">
        <f aca="false">IF(D151="","",IFERROR(INDEX(Insumos!$D$6:$D$105,MATCH(D151,Insumos!$A$6:$A$105,0)),""))</f>
        <v/>
      </c>
      <c r="H151" s="22"/>
      <c r="I151" s="23" t="str">
        <f aca="false">IF(D151="","",IFERROR(INDEX(Insumos!$E$6:$E$105,MATCH(D151,Insumos!$A$6:$A$105,0)),0))</f>
        <v/>
      </c>
      <c r="J151" s="23" t="str">
        <f aca="false">IF(OR(D151="",H151=""),"",H151*I151)</f>
        <v/>
      </c>
    </row>
    <row r="152" customFormat="false" ht="15" hidden="false" customHeight="false" outlineLevel="0" collapsed="false">
      <c r="A152" s="17"/>
      <c r="B152" s="17"/>
      <c r="C152" s="17"/>
      <c r="D152" s="17"/>
      <c r="E152" s="9" t="str">
        <f aca="false">IF(D152="","",IFERROR(INDEX(Insumos!$B$6:$B$105,MATCH(D152,Insumos!$A$6:$A$105,0)),"No existe"))</f>
        <v/>
      </c>
      <c r="F152" s="9" t="str">
        <f aca="false">IF(D152="","",IFERROR(INDEX(Insumos!$C$6:$C$105,MATCH(D152,Insumos!$A$6:$A$105,0)),""))</f>
        <v/>
      </c>
      <c r="G152" s="9" t="str">
        <f aca="false">IF(D152="","",IFERROR(INDEX(Insumos!$D$6:$D$105,MATCH(D152,Insumos!$A$6:$A$105,0)),""))</f>
        <v/>
      </c>
      <c r="H152" s="22"/>
      <c r="I152" s="23" t="str">
        <f aca="false">IF(D152="","",IFERROR(INDEX(Insumos!$E$6:$E$105,MATCH(D152,Insumos!$A$6:$A$105,0)),0))</f>
        <v/>
      </c>
      <c r="J152" s="23" t="str">
        <f aca="false">IF(OR(D152="",H152=""),"",H152*I152)</f>
        <v/>
      </c>
    </row>
    <row r="153" customFormat="false" ht="15" hidden="false" customHeight="false" outlineLevel="0" collapsed="false">
      <c r="A153" s="17"/>
      <c r="B153" s="17"/>
      <c r="C153" s="17"/>
      <c r="D153" s="17"/>
      <c r="E153" s="9" t="str">
        <f aca="false">IF(D153="","",IFERROR(INDEX(Insumos!$B$6:$B$105,MATCH(D153,Insumos!$A$6:$A$105,0)),"No existe"))</f>
        <v/>
      </c>
      <c r="F153" s="9" t="str">
        <f aca="false">IF(D153="","",IFERROR(INDEX(Insumos!$C$6:$C$105,MATCH(D153,Insumos!$A$6:$A$105,0)),""))</f>
        <v/>
      </c>
      <c r="G153" s="9" t="str">
        <f aca="false">IF(D153="","",IFERROR(INDEX(Insumos!$D$6:$D$105,MATCH(D153,Insumos!$A$6:$A$105,0)),""))</f>
        <v/>
      </c>
      <c r="H153" s="22"/>
      <c r="I153" s="23" t="str">
        <f aca="false">IF(D153="","",IFERROR(INDEX(Insumos!$E$6:$E$105,MATCH(D153,Insumos!$A$6:$A$105,0)),0))</f>
        <v/>
      </c>
      <c r="J153" s="23" t="str">
        <f aca="false">IF(OR(D153="",H153=""),"",H153*I153)</f>
        <v/>
      </c>
    </row>
    <row r="154" customFormat="false" ht="15" hidden="false" customHeight="false" outlineLevel="0" collapsed="false">
      <c r="A154" s="17"/>
      <c r="B154" s="17"/>
      <c r="C154" s="17"/>
      <c r="D154" s="17"/>
      <c r="E154" s="9" t="str">
        <f aca="false">IF(D154="","",IFERROR(INDEX(Insumos!$B$6:$B$105,MATCH(D154,Insumos!$A$6:$A$105,0)),"No existe"))</f>
        <v/>
      </c>
      <c r="F154" s="9" t="str">
        <f aca="false">IF(D154="","",IFERROR(INDEX(Insumos!$C$6:$C$105,MATCH(D154,Insumos!$A$6:$A$105,0)),""))</f>
        <v/>
      </c>
      <c r="G154" s="9" t="str">
        <f aca="false">IF(D154="","",IFERROR(INDEX(Insumos!$D$6:$D$105,MATCH(D154,Insumos!$A$6:$A$105,0)),""))</f>
        <v/>
      </c>
      <c r="H154" s="22"/>
      <c r="I154" s="23" t="str">
        <f aca="false">IF(D154="","",IFERROR(INDEX(Insumos!$E$6:$E$105,MATCH(D154,Insumos!$A$6:$A$105,0)),0))</f>
        <v/>
      </c>
      <c r="J154" s="23" t="str">
        <f aca="false">IF(OR(D154="",H154=""),"",H154*I154)</f>
        <v/>
      </c>
    </row>
    <row r="155" customFormat="false" ht="15" hidden="false" customHeight="false" outlineLevel="0" collapsed="false">
      <c r="A155" s="17"/>
      <c r="B155" s="17"/>
      <c r="C155" s="17"/>
      <c r="D155" s="17"/>
      <c r="E155" s="9" t="str">
        <f aca="false">IF(D155="","",IFERROR(INDEX(Insumos!$B$6:$B$105,MATCH(D155,Insumos!$A$6:$A$105,0)),"No existe"))</f>
        <v/>
      </c>
      <c r="F155" s="9" t="str">
        <f aca="false">IF(D155="","",IFERROR(INDEX(Insumos!$C$6:$C$105,MATCH(D155,Insumos!$A$6:$A$105,0)),""))</f>
        <v/>
      </c>
      <c r="G155" s="9" t="str">
        <f aca="false">IF(D155="","",IFERROR(INDEX(Insumos!$D$6:$D$105,MATCH(D155,Insumos!$A$6:$A$105,0)),""))</f>
        <v/>
      </c>
      <c r="H155" s="22"/>
      <c r="I155" s="23" t="str">
        <f aca="false">IF(D155="","",IFERROR(INDEX(Insumos!$E$6:$E$105,MATCH(D155,Insumos!$A$6:$A$105,0)),0))</f>
        <v/>
      </c>
      <c r="J155" s="23" t="str">
        <f aca="false">IF(OR(D155="",H155=""),"",H155*I155)</f>
        <v/>
      </c>
    </row>
    <row r="156" customFormat="false" ht="15" hidden="false" customHeight="false" outlineLevel="0" collapsed="false">
      <c r="A156" s="17"/>
      <c r="B156" s="17"/>
      <c r="C156" s="17"/>
      <c r="D156" s="17"/>
      <c r="E156" s="9" t="str">
        <f aca="false">IF(D156="","",IFERROR(INDEX(Insumos!$B$6:$B$105,MATCH(D156,Insumos!$A$6:$A$105,0)),"No existe"))</f>
        <v/>
      </c>
      <c r="F156" s="9" t="str">
        <f aca="false">IF(D156="","",IFERROR(INDEX(Insumos!$C$6:$C$105,MATCH(D156,Insumos!$A$6:$A$105,0)),""))</f>
        <v/>
      </c>
      <c r="G156" s="9" t="str">
        <f aca="false">IF(D156="","",IFERROR(INDEX(Insumos!$D$6:$D$105,MATCH(D156,Insumos!$A$6:$A$105,0)),""))</f>
        <v/>
      </c>
      <c r="H156" s="22"/>
      <c r="I156" s="23" t="str">
        <f aca="false">IF(D156="","",IFERROR(INDEX(Insumos!$E$6:$E$105,MATCH(D156,Insumos!$A$6:$A$105,0)),0))</f>
        <v/>
      </c>
      <c r="J156" s="23" t="str">
        <f aca="false">IF(OR(D156="",H156=""),"",H156*I156)</f>
        <v/>
      </c>
    </row>
    <row r="157" customFormat="false" ht="15" hidden="false" customHeight="false" outlineLevel="0" collapsed="false">
      <c r="A157" s="17"/>
      <c r="B157" s="17"/>
      <c r="C157" s="17"/>
      <c r="D157" s="17"/>
      <c r="E157" s="9" t="str">
        <f aca="false">IF(D157="","",IFERROR(INDEX(Insumos!$B$6:$B$105,MATCH(D157,Insumos!$A$6:$A$105,0)),"No existe"))</f>
        <v/>
      </c>
      <c r="F157" s="9" t="str">
        <f aca="false">IF(D157="","",IFERROR(INDEX(Insumos!$C$6:$C$105,MATCH(D157,Insumos!$A$6:$A$105,0)),""))</f>
        <v/>
      </c>
      <c r="G157" s="9" t="str">
        <f aca="false">IF(D157="","",IFERROR(INDEX(Insumos!$D$6:$D$105,MATCH(D157,Insumos!$A$6:$A$105,0)),""))</f>
        <v/>
      </c>
      <c r="H157" s="22"/>
      <c r="I157" s="23" t="str">
        <f aca="false">IF(D157="","",IFERROR(INDEX(Insumos!$E$6:$E$105,MATCH(D157,Insumos!$A$6:$A$105,0)),0))</f>
        <v/>
      </c>
      <c r="J157" s="23" t="str">
        <f aca="false">IF(OR(D157="",H157=""),"",H157*I157)</f>
        <v/>
      </c>
    </row>
    <row r="158" customFormat="false" ht="15" hidden="false" customHeight="false" outlineLevel="0" collapsed="false">
      <c r="A158" s="17"/>
      <c r="B158" s="17"/>
      <c r="C158" s="17"/>
      <c r="D158" s="17"/>
      <c r="E158" s="9" t="str">
        <f aca="false">IF(D158="","",IFERROR(INDEX(Insumos!$B$6:$B$105,MATCH(D158,Insumos!$A$6:$A$105,0)),"No existe"))</f>
        <v/>
      </c>
      <c r="F158" s="9" t="str">
        <f aca="false">IF(D158="","",IFERROR(INDEX(Insumos!$C$6:$C$105,MATCH(D158,Insumos!$A$6:$A$105,0)),""))</f>
        <v/>
      </c>
      <c r="G158" s="9" t="str">
        <f aca="false">IF(D158="","",IFERROR(INDEX(Insumos!$D$6:$D$105,MATCH(D158,Insumos!$A$6:$A$105,0)),""))</f>
        <v/>
      </c>
      <c r="H158" s="22"/>
      <c r="I158" s="23" t="str">
        <f aca="false">IF(D158="","",IFERROR(INDEX(Insumos!$E$6:$E$105,MATCH(D158,Insumos!$A$6:$A$105,0)),0))</f>
        <v/>
      </c>
      <c r="J158" s="23" t="str">
        <f aca="false">IF(OR(D158="",H158=""),"",H158*I158)</f>
        <v/>
      </c>
    </row>
    <row r="159" customFormat="false" ht="15" hidden="false" customHeight="false" outlineLevel="0" collapsed="false">
      <c r="A159" s="17"/>
      <c r="B159" s="17"/>
      <c r="C159" s="17"/>
      <c r="D159" s="17"/>
      <c r="E159" s="9" t="str">
        <f aca="false">IF(D159="","",IFERROR(INDEX(Insumos!$B$6:$B$105,MATCH(D159,Insumos!$A$6:$A$105,0)),"No existe"))</f>
        <v/>
      </c>
      <c r="F159" s="9" t="str">
        <f aca="false">IF(D159="","",IFERROR(INDEX(Insumos!$C$6:$C$105,MATCH(D159,Insumos!$A$6:$A$105,0)),""))</f>
        <v/>
      </c>
      <c r="G159" s="9" t="str">
        <f aca="false">IF(D159="","",IFERROR(INDEX(Insumos!$D$6:$D$105,MATCH(D159,Insumos!$A$6:$A$105,0)),""))</f>
        <v/>
      </c>
      <c r="H159" s="22"/>
      <c r="I159" s="23" t="str">
        <f aca="false">IF(D159="","",IFERROR(INDEX(Insumos!$E$6:$E$105,MATCH(D159,Insumos!$A$6:$A$105,0)),0))</f>
        <v/>
      </c>
      <c r="J159" s="23" t="str">
        <f aca="false">IF(OR(D159="",H159=""),"",H159*I159)</f>
        <v/>
      </c>
    </row>
    <row r="160" customFormat="false" ht="15" hidden="false" customHeight="false" outlineLevel="0" collapsed="false">
      <c r="A160" s="17"/>
      <c r="B160" s="17"/>
      <c r="C160" s="17"/>
      <c r="D160" s="17"/>
      <c r="E160" s="9" t="str">
        <f aca="false">IF(D160="","",IFERROR(INDEX(Insumos!$B$6:$B$105,MATCH(D160,Insumos!$A$6:$A$105,0)),"No existe"))</f>
        <v/>
      </c>
      <c r="F160" s="9" t="str">
        <f aca="false">IF(D160="","",IFERROR(INDEX(Insumos!$C$6:$C$105,MATCH(D160,Insumos!$A$6:$A$105,0)),""))</f>
        <v/>
      </c>
      <c r="G160" s="9" t="str">
        <f aca="false">IF(D160="","",IFERROR(INDEX(Insumos!$D$6:$D$105,MATCH(D160,Insumos!$A$6:$A$105,0)),""))</f>
        <v/>
      </c>
      <c r="H160" s="22"/>
      <c r="I160" s="23" t="str">
        <f aca="false">IF(D160="","",IFERROR(INDEX(Insumos!$E$6:$E$105,MATCH(D160,Insumos!$A$6:$A$105,0)),0))</f>
        <v/>
      </c>
      <c r="J160" s="23" t="str">
        <f aca="false">IF(OR(D160="",H160=""),"",H160*I160)</f>
        <v/>
      </c>
    </row>
    <row r="161" customFormat="false" ht="15" hidden="false" customHeight="false" outlineLevel="0" collapsed="false">
      <c r="A161" s="17"/>
      <c r="B161" s="17"/>
      <c r="C161" s="17"/>
      <c r="D161" s="17"/>
      <c r="E161" s="9" t="str">
        <f aca="false">IF(D161="","",IFERROR(INDEX(Insumos!$B$6:$B$105,MATCH(D161,Insumos!$A$6:$A$105,0)),"No existe"))</f>
        <v/>
      </c>
      <c r="F161" s="9" t="str">
        <f aca="false">IF(D161="","",IFERROR(INDEX(Insumos!$C$6:$C$105,MATCH(D161,Insumos!$A$6:$A$105,0)),""))</f>
        <v/>
      </c>
      <c r="G161" s="9" t="str">
        <f aca="false">IF(D161="","",IFERROR(INDEX(Insumos!$D$6:$D$105,MATCH(D161,Insumos!$A$6:$A$105,0)),""))</f>
        <v/>
      </c>
      <c r="H161" s="22"/>
      <c r="I161" s="23" t="str">
        <f aca="false">IF(D161="","",IFERROR(INDEX(Insumos!$E$6:$E$105,MATCH(D161,Insumos!$A$6:$A$105,0)),0))</f>
        <v/>
      </c>
      <c r="J161" s="23" t="str">
        <f aca="false">IF(OR(D161="",H161=""),"",H161*I161)</f>
        <v/>
      </c>
    </row>
    <row r="162" customFormat="false" ht="15" hidden="false" customHeight="false" outlineLevel="0" collapsed="false">
      <c r="A162" s="17"/>
      <c r="B162" s="17"/>
      <c r="C162" s="17"/>
      <c r="D162" s="17"/>
      <c r="E162" s="9" t="str">
        <f aca="false">IF(D162="","",IFERROR(INDEX(Insumos!$B$6:$B$105,MATCH(D162,Insumos!$A$6:$A$105,0)),"No existe"))</f>
        <v/>
      </c>
      <c r="F162" s="9" t="str">
        <f aca="false">IF(D162="","",IFERROR(INDEX(Insumos!$C$6:$C$105,MATCH(D162,Insumos!$A$6:$A$105,0)),""))</f>
        <v/>
      </c>
      <c r="G162" s="9" t="str">
        <f aca="false">IF(D162="","",IFERROR(INDEX(Insumos!$D$6:$D$105,MATCH(D162,Insumos!$A$6:$A$105,0)),""))</f>
        <v/>
      </c>
      <c r="H162" s="22"/>
      <c r="I162" s="23" t="str">
        <f aca="false">IF(D162="","",IFERROR(INDEX(Insumos!$E$6:$E$105,MATCH(D162,Insumos!$A$6:$A$105,0)),0))</f>
        <v/>
      </c>
      <c r="J162" s="23" t="str">
        <f aca="false">IF(OR(D162="",H162=""),"",H162*I162)</f>
        <v/>
      </c>
    </row>
    <row r="163" customFormat="false" ht="15" hidden="false" customHeight="false" outlineLevel="0" collapsed="false">
      <c r="A163" s="17"/>
      <c r="B163" s="17"/>
      <c r="C163" s="17"/>
      <c r="D163" s="17"/>
      <c r="E163" s="9" t="str">
        <f aca="false">IF(D163="","",IFERROR(INDEX(Insumos!$B$6:$B$105,MATCH(D163,Insumos!$A$6:$A$105,0)),"No existe"))</f>
        <v/>
      </c>
      <c r="F163" s="9" t="str">
        <f aca="false">IF(D163="","",IFERROR(INDEX(Insumos!$C$6:$C$105,MATCH(D163,Insumos!$A$6:$A$105,0)),""))</f>
        <v/>
      </c>
      <c r="G163" s="9" t="str">
        <f aca="false">IF(D163="","",IFERROR(INDEX(Insumos!$D$6:$D$105,MATCH(D163,Insumos!$A$6:$A$105,0)),""))</f>
        <v/>
      </c>
      <c r="H163" s="22"/>
      <c r="I163" s="23" t="str">
        <f aca="false">IF(D163="","",IFERROR(INDEX(Insumos!$E$6:$E$105,MATCH(D163,Insumos!$A$6:$A$105,0)),0))</f>
        <v/>
      </c>
      <c r="J163" s="23" t="str">
        <f aca="false">IF(OR(D163="",H163=""),"",H163*I163)</f>
        <v/>
      </c>
    </row>
    <row r="164" customFormat="false" ht="15" hidden="false" customHeight="false" outlineLevel="0" collapsed="false">
      <c r="A164" s="17"/>
      <c r="B164" s="17"/>
      <c r="C164" s="17"/>
      <c r="D164" s="17"/>
      <c r="E164" s="9" t="str">
        <f aca="false">IF(D164="","",IFERROR(INDEX(Insumos!$B$6:$B$105,MATCH(D164,Insumos!$A$6:$A$105,0)),"No existe"))</f>
        <v/>
      </c>
      <c r="F164" s="9" t="str">
        <f aca="false">IF(D164="","",IFERROR(INDEX(Insumos!$C$6:$C$105,MATCH(D164,Insumos!$A$6:$A$105,0)),""))</f>
        <v/>
      </c>
      <c r="G164" s="9" t="str">
        <f aca="false">IF(D164="","",IFERROR(INDEX(Insumos!$D$6:$D$105,MATCH(D164,Insumos!$A$6:$A$105,0)),""))</f>
        <v/>
      </c>
      <c r="H164" s="22"/>
      <c r="I164" s="23" t="str">
        <f aca="false">IF(D164="","",IFERROR(INDEX(Insumos!$E$6:$E$105,MATCH(D164,Insumos!$A$6:$A$105,0)),0))</f>
        <v/>
      </c>
      <c r="J164" s="23" t="str">
        <f aca="false">IF(OR(D164="",H164=""),"",H164*I164)</f>
        <v/>
      </c>
    </row>
    <row r="165" customFormat="false" ht="15" hidden="false" customHeight="false" outlineLevel="0" collapsed="false">
      <c r="A165" s="17"/>
      <c r="B165" s="17"/>
      <c r="C165" s="17"/>
      <c r="D165" s="17"/>
      <c r="E165" s="9" t="str">
        <f aca="false">IF(D165="","",IFERROR(INDEX(Insumos!$B$6:$B$105,MATCH(D165,Insumos!$A$6:$A$105,0)),"No existe"))</f>
        <v/>
      </c>
      <c r="F165" s="9" t="str">
        <f aca="false">IF(D165="","",IFERROR(INDEX(Insumos!$C$6:$C$105,MATCH(D165,Insumos!$A$6:$A$105,0)),""))</f>
        <v/>
      </c>
      <c r="G165" s="9" t="str">
        <f aca="false">IF(D165="","",IFERROR(INDEX(Insumos!$D$6:$D$105,MATCH(D165,Insumos!$A$6:$A$105,0)),""))</f>
        <v/>
      </c>
      <c r="H165" s="22"/>
      <c r="I165" s="23" t="str">
        <f aca="false">IF(D165="","",IFERROR(INDEX(Insumos!$E$6:$E$105,MATCH(D165,Insumos!$A$6:$A$105,0)),0))</f>
        <v/>
      </c>
      <c r="J165" s="23" t="str">
        <f aca="false">IF(OR(D165="",H165=""),"",H165*I165)</f>
        <v/>
      </c>
    </row>
    <row r="166" customFormat="false" ht="15" hidden="false" customHeight="false" outlineLevel="0" collapsed="false">
      <c r="A166" s="17"/>
      <c r="B166" s="17"/>
      <c r="C166" s="17"/>
      <c r="D166" s="17"/>
      <c r="E166" s="9" t="str">
        <f aca="false">IF(D166="","",IFERROR(INDEX(Insumos!$B$6:$B$105,MATCH(D166,Insumos!$A$6:$A$105,0)),"No existe"))</f>
        <v/>
      </c>
      <c r="F166" s="9" t="str">
        <f aca="false">IF(D166="","",IFERROR(INDEX(Insumos!$C$6:$C$105,MATCH(D166,Insumos!$A$6:$A$105,0)),""))</f>
        <v/>
      </c>
      <c r="G166" s="9" t="str">
        <f aca="false">IF(D166="","",IFERROR(INDEX(Insumos!$D$6:$D$105,MATCH(D166,Insumos!$A$6:$A$105,0)),""))</f>
        <v/>
      </c>
      <c r="H166" s="22"/>
      <c r="I166" s="23" t="str">
        <f aca="false">IF(D166="","",IFERROR(INDEX(Insumos!$E$6:$E$105,MATCH(D166,Insumos!$A$6:$A$105,0)),0))</f>
        <v/>
      </c>
      <c r="J166" s="23" t="str">
        <f aca="false">IF(OR(D166="",H166=""),"",H166*I166)</f>
        <v/>
      </c>
    </row>
    <row r="167" customFormat="false" ht="15" hidden="false" customHeight="false" outlineLevel="0" collapsed="false">
      <c r="A167" s="17"/>
      <c r="B167" s="17"/>
      <c r="C167" s="17"/>
      <c r="D167" s="17"/>
      <c r="E167" s="9" t="str">
        <f aca="false">IF(D167="","",IFERROR(INDEX(Insumos!$B$6:$B$105,MATCH(D167,Insumos!$A$6:$A$105,0)),"No existe"))</f>
        <v/>
      </c>
      <c r="F167" s="9" t="str">
        <f aca="false">IF(D167="","",IFERROR(INDEX(Insumos!$C$6:$C$105,MATCH(D167,Insumos!$A$6:$A$105,0)),""))</f>
        <v/>
      </c>
      <c r="G167" s="9" t="str">
        <f aca="false">IF(D167="","",IFERROR(INDEX(Insumos!$D$6:$D$105,MATCH(D167,Insumos!$A$6:$A$105,0)),""))</f>
        <v/>
      </c>
      <c r="H167" s="22"/>
      <c r="I167" s="23" t="str">
        <f aca="false">IF(D167="","",IFERROR(INDEX(Insumos!$E$6:$E$105,MATCH(D167,Insumos!$A$6:$A$105,0)),0))</f>
        <v/>
      </c>
      <c r="J167" s="23" t="str">
        <f aca="false">IF(OR(D167="",H167=""),"",H167*I167)</f>
        <v/>
      </c>
    </row>
    <row r="168" customFormat="false" ht="15" hidden="false" customHeight="false" outlineLevel="0" collapsed="false">
      <c r="A168" s="17"/>
      <c r="B168" s="17"/>
      <c r="C168" s="17"/>
      <c r="D168" s="17"/>
      <c r="E168" s="9" t="str">
        <f aca="false">IF(D168="","",IFERROR(INDEX(Insumos!$B$6:$B$105,MATCH(D168,Insumos!$A$6:$A$105,0)),"No existe"))</f>
        <v/>
      </c>
      <c r="F168" s="9" t="str">
        <f aca="false">IF(D168="","",IFERROR(INDEX(Insumos!$C$6:$C$105,MATCH(D168,Insumos!$A$6:$A$105,0)),""))</f>
        <v/>
      </c>
      <c r="G168" s="9" t="str">
        <f aca="false">IF(D168="","",IFERROR(INDEX(Insumos!$D$6:$D$105,MATCH(D168,Insumos!$A$6:$A$105,0)),""))</f>
        <v/>
      </c>
      <c r="H168" s="22"/>
      <c r="I168" s="23" t="str">
        <f aca="false">IF(D168="","",IFERROR(INDEX(Insumos!$E$6:$E$105,MATCH(D168,Insumos!$A$6:$A$105,0)),0))</f>
        <v/>
      </c>
      <c r="J168" s="23" t="str">
        <f aca="false">IF(OR(D168="",H168=""),"",H168*I168)</f>
        <v/>
      </c>
    </row>
    <row r="169" customFormat="false" ht="15" hidden="false" customHeight="false" outlineLevel="0" collapsed="false">
      <c r="A169" s="17"/>
      <c r="B169" s="17"/>
      <c r="C169" s="17"/>
      <c r="D169" s="17"/>
      <c r="E169" s="9" t="str">
        <f aca="false">IF(D169="","",IFERROR(INDEX(Insumos!$B$6:$B$105,MATCH(D169,Insumos!$A$6:$A$105,0)),"No existe"))</f>
        <v/>
      </c>
      <c r="F169" s="9" t="str">
        <f aca="false">IF(D169="","",IFERROR(INDEX(Insumos!$C$6:$C$105,MATCH(D169,Insumos!$A$6:$A$105,0)),""))</f>
        <v/>
      </c>
      <c r="G169" s="9" t="str">
        <f aca="false">IF(D169="","",IFERROR(INDEX(Insumos!$D$6:$D$105,MATCH(D169,Insumos!$A$6:$A$105,0)),""))</f>
        <v/>
      </c>
      <c r="H169" s="22"/>
      <c r="I169" s="23" t="str">
        <f aca="false">IF(D169="","",IFERROR(INDEX(Insumos!$E$6:$E$105,MATCH(D169,Insumos!$A$6:$A$105,0)),0))</f>
        <v/>
      </c>
      <c r="J169" s="23" t="str">
        <f aca="false">IF(OR(D169="",H169=""),"",H169*I169)</f>
        <v/>
      </c>
    </row>
    <row r="170" customFormat="false" ht="15" hidden="false" customHeight="false" outlineLevel="0" collapsed="false">
      <c r="A170" s="17"/>
      <c r="B170" s="17"/>
      <c r="C170" s="17"/>
      <c r="D170" s="17"/>
      <c r="E170" s="9" t="str">
        <f aca="false">IF(D170="","",IFERROR(INDEX(Insumos!$B$6:$B$105,MATCH(D170,Insumos!$A$6:$A$105,0)),"No existe"))</f>
        <v/>
      </c>
      <c r="F170" s="9" t="str">
        <f aca="false">IF(D170="","",IFERROR(INDEX(Insumos!$C$6:$C$105,MATCH(D170,Insumos!$A$6:$A$105,0)),""))</f>
        <v/>
      </c>
      <c r="G170" s="9" t="str">
        <f aca="false">IF(D170="","",IFERROR(INDEX(Insumos!$D$6:$D$105,MATCH(D170,Insumos!$A$6:$A$105,0)),""))</f>
        <v/>
      </c>
      <c r="H170" s="22"/>
      <c r="I170" s="23" t="str">
        <f aca="false">IF(D170="","",IFERROR(INDEX(Insumos!$E$6:$E$105,MATCH(D170,Insumos!$A$6:$A$105,0)),0))</f>
        <v/>
      </c>
      <c r="J170" s="23" t="str">
        <f aca="false">IF(OR(D170="",H170=""),"",H170*I170)</f>
        <v/>
      </c>
    </row>
    <row r="171" customFormat="false" ht="15" hidden="false" customHeight="false" outlineLevel="0" collapsed="false">
      <c r="A171" s="17"/>
      <c r="B171" s="17"/>
      <c r="C171" s="17"/>
      <c r="D171" s="17"/>
      <c r="E171" s="9" t="str">
        <f aca="false">IF(D171="","",IFERROR(INDEX(Insumos!$B$6:$B$105,MATCH(D171,Insumos!$A$6:$A$105,0)),"No existe"))</f>
        <v/>
      </c>
      <c r="F171" s="9" t="str">
        <f aca="false">IF(D171="","",IFERROR(INDEX(Insumos!$C$6:$C$105,MATCH(D171,Insumos!$A$6:$A$105,0)),""))</f>
        <v/>
      </c>
      <c r="G171" s="9" t="str">
        <f aca="false">IF(D171="","",IFERROR(INDEX(Insumos!$D$6:$D$105,MATCH(D171,Insumos!$A$6:$A$105,0)),""))</f>
        <v/>
      </c>
      <c r="H171" s="22"/>
      <c r="I171" s="23" t="str">
        <f aca="false">IF(D171="","",IFERROR(INDEX(Insumos!$E$6:$E$105,MATCH(D171,Insumos!$A$6:$A$105,0)),0))</f>
        <v/>
      </c>
      <c r="J171" s="23" t="str">
        <f aca="false">IF(OR(D171="",H171=""),"",H171*I171)</f>
        <v/>
      </c>
    </row>
    <row r="172" customFormat="false" ht="15" hidden="false" customHeight="false" outlineLevel="0" collapsed="false">
      <c r="A172" s="17"/>
      <c r="B172" s="17"/>
      <c r="C172" s="17"/>
      <c r="D172" s="17"/>
      <c r="E172" s="9" t="str">
        <f aca="false">IF(D172="","",IFERROR(INDEX(Insumos!$B$6:$B$105,MATCH(D172,Insumos!$A$6:$A$105,0)),"No existe"))</f>
        <v/>
      </c>
      <c r="F172" s="9" t="str">
        <f aca="false">IF(D172="","",IFERROR(INDEX(Insumos!$C$6:$C$105,MATCH(D172,Insumos!$A$6:$A$105,0)),""))</f>
        <v/>
      </c>
      <c r="G172" s="9" t="str">
        <f aca="false">IF(D172="","",IFERROR(INDEX(Insumos!$D$6:$D$105,MATCH(D172,Insumos!$A$6:$A$105,0)),""))</f>
        <v/>
      </c>
      <c r="H172" s="22"/>
      <c r="I172" s="23" t="str">
        <f aca="false">IF(D172="","",IFERROR(INDEX(Insumos!$E$6:$E$105,MATCH(D172,Insumos!$A$6:$A$105,0)),0))</f>
        <v/>
      </c>
      <c r="J172" s="23" t="str">
        <f aca="false">IF(OR(D172="",H172=""),"",H172*I172)</f>
        <v/>
      </c>
    </row>
    <row r="173" customFormat="false" ht="15" hidden="false" customHeight="false" outlineLevel="0" collapsed="false">
      <c r="A173" s="17"/>
      <c r="B173" s="17"/>
      <c r="C173" s="17"/>
      <c r="D173" s="17"/>
      <c r="E173" s="9" t="str">
        <f aca="false">IF(D173="","",IFERROR(INDEX(Insumos!$B$6:$B$105,MATCH(D173,Insumos!$A$6:$A$105,0)),"No existe"))</f>
        <v/>
      </c>
      <c r="F173" s="9" t="str">
        <f aca="false">IF(D173="","",IFERROR(INDEX(Insumos!$C$6:$C$105,MATCH(D173,Insumos!$A$6:$A$105,0)),""))</f>
        <v/>
      </c>
      <c r="G173" s="9" t="str">
        <f aca="false">IF(D173="","",IFERROR(INDEX(Insumos!$D$6:$D$105,MATCH(D173,Insumos!$A$6:$A$105,0)),""))</f>
        <v/>
      </c>
      <c r="H173" s="22"/>
      <c r="I173" s="23" t="str">
        <f aca="false">IF(D173="","",IFERROR(INDEX(Insumos!$E$6:$E$105,MATCH(D173,Insumos!$A$6:$A$105,0)),0))</f>
        <v/>
      </c>
      <c r="J173" s="23" t="str">
        <f aca="false">IF(OR(D173="",H173=""),"",H173*I173)</f>
        <v/>
      </c>
    </row>
    <row r="174" customFormat="false" ht="15" hidden="false" customHeight="false" outlineLevel="0" collapsed="false">
      <c r="A174" s="17"/>
      <c r="B174" s="17"/>
      <c r="C174" s="17"/>
      <c r="D174" s="17"/>
      <c r="E174" s="9" t="str">
        <f aca="false">IF(D174="","",IFERROR(INDEX(Insumos!$B$6:$B$105,MATCH(D174,Insumos!$A$6:$A$105,0)),"No existe"))</f>
        <v/>
      </c>
      <c r="F174" s="9" t="str">
        <f aca="false">IF(D174="","",IFERROR(INDEX(Insumos!$C$6:$C$105,MATCH(D174,Insumos!$A$6:$A$105,0)),""))</f>
        <v/>
      </c>
      <c r="G174" s="9" t="str">
        <f aca="false">IF(D174="","",IFERROR(INDEX(Insumos!$D$6:$D$105,MATCH(D174,Insumos!$A$6:$A$105,0)),""))</f>
        <v/>
      </c>
      <c r="H174" s="22"/>
      <c r="I174" s="23" t="str">
        <f aca="false">IF(D174="","",IFERROR(INDEX(Insumos!$E$6:$E$105,MATCH(D174,Insumos!$A$6:$A$105,0)),0))</f>
        <v/>
      </c>
      <c r="J174" s="23" t="str">
        <f aca="false">IF(OR(D174="",H174=""),"",H174*I174)</f>
        <v/>
      </c>
    </row>
    <row r="175" customFormat="false" ht="15" hidden="false" customHeight="false" outlineLevel="0" collapsed="false">
      <c r="A175" s="17"/>
      <c r="B175" s="17"/>
      <c r="C175" s="17"/>
      <c r="D175" s="17"/>
      <c r="E175" s="9" t="str">
        <f aca="false">IF(D175="","",IFERROR(INDEX(Insumos!$B$6:$B$105,MATCH(D175,Insumos!$A$6:$A$105,0)),"No existe"))</f>
        <v/>
      </c>
      <c r="F175" s="9" t="str">
        <f aca="false">IF(D175="","",IFERROR(INDEX(Insumos!$C$6:$C$105,MATCH(D175,Insumos!$A$6:$A$105,0)),""))</f>
        <v/>
      </c>
      <c r="G175" s="9" t="str">
        <f aca="false">IF(D175="","",IFERROR(INDEX(Insumos!$D$6:$D$105,MATCH(D175,Insumos!$A$6:$A$105,0)),""))</f>
        <v/>
      </c>
      <c r="H175" s="22"/>
      <c r="I175" s="23" t="str">
        <f aca="false">IF(D175="","",IFERROR(INDEX(Insumos!$E$6:$E$105,MATCH(D175,Insumos!$A$6:$A$105,0)),0))</f>
        <v/>
      </c>
      <c r="J175" s="23" t="str">
        <f aca="false">IF(OR(D175="",H175=""),"",H175*I175)</f>
        <v/>
      </c>
    </row>
    <row r="176" customFormat="false" ht="15" hidden="false" customHeight="false" outlineLevel="0" collapsed="false">
      <c r="A176" s="17"/>
      <c r="B176" s="17"/>
      <c r="C176" s="17"/>
      <c r="D176" s="17"/>
      <c r="E176" s="9" t="str">
        <f aca="false">IF(D176="","",IFERROR(INDEX(Insumos!$B$6:$B$105,MATCH(D176,Insumos!$A$6:$A$105,0)),"No existe"))</f>
        <v/>
      </c>
      <c r="F176" s="9" t="str">
        <f aca="false">IF(D176="","",IFERROR(INDEX(Insumos!$C$6:$C$105,MATCH(D176,Insumos!$A$6:$A$105,0)),""))</f>
        <v/>
      </c>
      <c r="G176" s="9" t="str">
        <f aca="false">IF(D176="","",IFERROR(INDEX(Insumos!$D$6:$D$105,MATCH(D176,Insumos!$A$6:$A$105,0)),""))</f>
        <v/>
      </c>
      <c r="H176" s="22"/>
      <c r="I176" s="23" t="str">
        <f aca="false">IF(D176="","",IFERROR(INDEX(Insumos!$E$6:$E$105,MATCH(D176,Insumos!$A$6:$A$105,0)),0))</f>
        <v/>
      </c>
      <c r="J176" s="23" t="str">
        <f aca="false">IF(OR(D176="",H176=""),"",H176*I176)</f>
        <v/>
      </c>
    </row>
    <row r="177" customFormat="false" ht="15" hidden="false" customHeight="false" outlineLevel="0" collapsed="false">
      <c r="A177" s="17"/>
      <c r="B177" s="17"/>
      <c r="C177" s="17"/>
      <c r="D177" s="17"/>
      <c r="E177" s="9" t="str">
        <f aca="false">IF(D177="","",IFERROR(INDEX(Insumos!$B$6:$B$105,MATCH(D177,Insumos!$A$6:$A$105,0)),"No existe"))</f>
        <v/>
      </c>
      <c r="F177" s="9" t="str">
        <f aca="false">IF(D177="","",IFERROR(INDEX(Insumos!$C$6:$C$105,MATCH(D177,Insumos!$A$6:$A$105,0)),""))</f>
        <v/>
      </c>
      <c r="G177" s="9" t="str">
        <f aca="false">IF(D177="","",IFERROR(INDEX(Insumos!$D$6:$D$105,MATCH(D177,Insumos!$A$6:$A$105,0)),""))</f>
        <v/>
      </c>
      <c r="H177" s="22"/>
      <c r="I177" s="23" t="str">
        <f aca="false">IF(D177="","",IFERROR(INDEX(Insumos!$E$6:$E$105,MATCH(D177,Insumos!$A$6:$A$105,0)),0))</f>
        <v/>
      </c>
      <c r="J177" s="23" t="str">
        <f aca="false">IF(OR(D177="",H177=""),"",H177*I177)</f>
        <v/>
      </c>
    </row>
    <row r="178" customFormat="false" ht="15" hidden="false" customHeight="false" outlineLevel="0" collapsed="false">
      <c r="A178" s="17"/>
      <c r="B178" s="17"/>
      <c r="C178" s="17"/>
      <c r="D178" s="17"/>
      <c r="E178" s="9" t="str">
        <f aca="false">IF(D178="","",IFERROR(INDEX(Insumos!$B$6:$B$105,MATCH(D178,Insumos!$A$6:$A$105,0)),"No existe"))</f>
        <v/>
      </c>
      <c r="F178" s="9" t="str">
        <f aca="false">IF(D178="","",IFERROR(INDEX(Insumos!$C$6:$C$105,MATCH(D178,Insumos!$A$6:$A$105,0)),""))</f>
        <v/>
      </c>
      <c r="G178" s="9" t="str">
        <f aca="false">IF(D178="","",IFERROR(INDEX(Insumos!$D$6:$D$105,MATCH(D178,Insumos!$A$6:$A$105,0)),""))</f>
        <v/>
      </c>
      <c r="H178" s="22"/>
      <c r="I178" s="23" t="str">
        <f aca="false">IF(D178="","",IFERROR(INDEX(Insumos!$E$6:$E$105,MATCH(D178,Insumos!$A$6:$A$105,0)),0))</f>
        <v/>
      </c>
      <c r="J178" s="23" t="str">
        <f aca="false">IF(OR(D178="",H178=""),"",H178*I178)</f>
        <v/>
      </c>
    </row>
    <row r="179" customFormat="false" ht="15" hidden="false" customHeight="false" outlineLevel="0" collapsed="false">
      <c r="A179" s="17"/>
      <c r="B179" s="17"/>
      <c r="C179" s="17"/>
      <c r="D179" s="17"/>
      <c r="E179" s="9" t="str">
        <f aca="false">IF(D179="","",IFERROR(INDEX(Insumos!$B$6:$B$105,MATCH(D179,Insumos!$A$6:$A$105,0)),"No existe"))</f>
        <v/>
      </c>
      <c r="F179" s="9" t="str">
        <f aca="false">IF(D179="","",IFERROR(INDEX(Insumos!$C$6:$C$105,MATCH(D179,Insumos!$A$6:$A$105,0)),""))</f>
        <v/>
      </c>
      <c r="G179" s="9" t="str">
        <f aca="false">IF(D179="","",IFERROR(INDEX(Insumos!$D$6:$D$105,MATCH(D179,Insumos!$A$6:$A$105,0)),""))</f>
        <v/>
      </c>
      <c r="H179" s="22"/>
      <c r="I179" s="23" t="str">
        <f aca="false">IF(D179="","",IFERROR(INDEX(Insumos!$E$6:$E$105,MATCH(D179,Insumos!$A$6:$A$105,0)),0))</f>
        <v/>
      </c>
      <c r="J179" s="23" t="str">
        <f aca="false">IF(OR(D179="",H179=""),"",H179*I179)</f>
        <v/>
      </c>
    </row>
    <row r="180" customFormat="false" ht="15" hidden="false" customHeight="false" outlineLevel="0" collapsed="false">
      <c r="A180" s="17"/>
      <c r="B180" s="17"/>
      <c r="C180" s="17"/>
      <c r="D180" s="17"/>
      <c r="E180" s="9" t="str">
        <f aca="false">IF(D180="","",IFERROR(INDEX(Insumos!$B$6:$B$105,MATCH(D180,Insumos!$A$6:$A$105,0)),"No existe"))</f>
        <v/>
      </c>
      <c r="F180" s="9" t="str">
        <f aca="false">IF(D180="","",IFERROR(INDEX(Insumos!$C$6:$C$105,MATCH(D180,Insumos!$A$6:$A$105,0)),""))</f>
        <v/>
      </c>
      <c r="G180" s="9" t="str">
        <f aca="false">IF(D180="","",IFERROR(INDEX(Insumos!$D$6:$D$105,MATCH(D180,Insumos!$A$6:$A$105,0)),""))</f>
        <v/>
      </c>
      <c r="H180" s="22"/>
      <c r="I180" s="23" t="str">
        <f aca="false">IF(D180="","",IFERROR(INDEX(Insumos!$E$6:$E$105,MATCH(D180,Insumos!$A$6:$A$105,0)),0))</f>
        <v/>
      </c>
      <c r="J180" s="23" t="str">
        <f aca="false">IF(OR(D180="",H180=""),"",H180*I180)</f>
        <v/>
      </c>
    </row>
    <row r="181" customFormat="false" ht="15" hidden="false" customHeight="false" outlineLevel="0" collapsed="false">
      <c r="A181" s="17"/>
      <c r="B181" s="17"/>
      <c r="C181" s="17"/>
      <c r="D181" s="17"/>
      <c r="E181" s="9" t="str">
        <f aca="false">IF(D181="","",IFERROR(INDEX(Insumos!$B$6:$B$105,MATCH(D181,Insumos!$A$6:$A$105,0)),"No existe"))</f>
        <v/>
      </c>
      <c r="F181" s="9" t="str">
        <f aca="false">IF(D181="","",IFERROR(INDEX(Insumos!$C$6:$C$105,MATCH(D181,Insumos!$A$6:$A$105,0)),""))</f>
        <v/>
      </c>
      <c r="G181" s="9" t="str">
        <f aca="false">IF(D181="","",IFERROR(INDEX(Insumos!$D$6:$D$105,MATCH(D181,Insumos!$A$6:$A$105,0)),""))</f>
        <v/>
      </c>
      <c r="H181" s="22"/>
      <c r="I181" s="23" t="str">
        <f aca="false">IF(D181="","",IFERROR(INDEX(Insumos!$E$6:$E$105,MATCH(D181,Insumos!$A$6:$A$105,0)),0))</f>
        <v/>
      </c>
      <c r="J181" s="23" t="str">
        <f aca="false">IF(OR(D181="",H181=""),"",H181*I181)</f>
        <v/>
      </c>
    </row>
    <row r="182" customFormat="false" ht="15" hidden="false" customHeight="false" outlineLevel="0" collapsed="false">
      <c r="A182" s="17"/>
      <c r="B182" s="17"/>
      <c r="C182" s="17"/>
      <c r="D182" s="17"/>
      <c r="E182" s="9" t="str">
        <f aca="false">IF(D182="","",IFERROR(INDEX(Insumos!$B$6:$B$105,MATCH(D182,Insumos!$A$6:$A$105,0)),"No existe"))</f>
        <v/>
      </c>
      <c r="F182" s="9" t="str">
        <f aca="false">IF(D182="","",IFERROR(INDEX(Insumos!$C$6:$C$105,MATCH(D182,Insumos!$A$6:$A$105,0)),""))</f>
        <v/>
      </c>
      <c r="G182" s="9" t="str">
        <f aca="false">IF(D182="","",IFERROR(INDEX(Insumos!$D$6:$D$105,MATCH(D182,Insumos!$A$6:$A$105,0)),""))</f>
        <v/>
      </c>
      <c r="H182" s="22"/>
      <c r="I182" s="23" t="str">
        <f aca="false">IF(D182="","",IFERROR(INDEX(Insumos!$E$6:$E$105,MATCH(D182,Insumos!$A$6:$A$105,0)),0))</f>
        <v/>
      </c>
      <c r="J182" s="23" t="str">
        <f aca="false">IF(OR(D182="",H182=""),"",H182*I182)</f>
        <v/>
      </c>
    </row>
    <row r="183" customFormat="false" ht="15" hidden="false" customHeight="false" outlineLevel="0" collapsed="false">
      <c r="A183" s="17"/>
      <c r="B183" s="17"/>
      <c r="C183" s="17"/>
      <c r="D183" s="17"/>
      <c r="E183" s="9" t="str">
        <f aca="false">IF(D183="","",IFERROR(INDEX(Insumos!$B$6:$B$105,MATCH(D183,Insumos!$A$6:$A$105,0)),"No existe"))</f>
        <v/>
      </c>
      <c r="F183" s="9" t="str">
        <f aca="false">IF(D183="","",IFERROR(INDEX(Insumos!$C$6:$C$105,MATCH(D183,Insumos!$A$6:$A$105,0)),""))</f>
        <v/>
      </c>
      <c r="G183" s="9" t="str">
        <f aca="false">IF(D183="","",IFERROR(INDEX(Insumos!$D$6:$D$105,MATCH(D183,Insumos!$A$6:$A$105,0)),""))</f>
        <v/>
      </c>
      <c r="H183" s="22"/>
      <c r="I183" s="23" t="str">
        <f aca="false">IF(D183="","",IFERROR(INDEX(Insumos!$E$6:$E$105,MATCH(D183,Insumos!$A$6:$A$105,0)),0))</f>
        <v/>
      </c>
      <c r="J183" s="23" t="str">
        <f aca="false">IF(OR(D183="",H183=""),"",H183*I183)</f>
        <v/>
      </c>
    </row>
    <row r="184" customFormat="false" ht="15" hidden="false" customHeight="false" outlineLevel="0" collapsed="false">
      <c r="A184" s="17"/>
      <c r="B184" s="17"/>
      <c r="C184" s="17"/>
      <c r="D184" s="17"/>
      <c r="E184" s="9" t="str">
        <f aca="false">IF(D184="","",IFERROR(INDEX(Insumos!$B$6:$B$105,MATCH(D184,Insumos!$A$6:$A$105,0)),"No existe"))</f>
        <v/>
      </c>
      <c r="F184" s="9" t="str">
        <f aca="false">IF(D184="","",IFERROR(INDEX(Insumos!$C$6:$C$105,MATCH(D184,Insumos!$A$6:$A$105,0)),""))</f>
        <v/>
      </c>
      <c r="G184" s="9" t="str">
        <f aca="false">IF(D184="","",IFERROR(INDEX(Insumos!$D$6:$D$105,MATCH(D184,Insumos!$A$6:$A$105,0)),""))</f>
        <v/>
      </c>
      <c r="H184" s="22"/>
      <c r="I184" s="23" t="str">
        <f aca="false">IF(D184="","",IFERROR(INDEX(Insumos!$E$6:$E$105,MATCH(D184,Insumos!$A$6:$A$105,0)),0))</f>
        <v/>
      </c>
      <c r="J184" s="23" t="str">
        <f aca="false">IF(OR(D184="",H184=""),"",H184*I184)</f>
        <v/>
      </c>
    </row>
    <row r="185" customFormat="false" ht="15" hidden="false" customHeight="false" outlineLevel="0" collapsed="false">
      <c r="A185" s="17"/>
      <c r="B185" s="17"/>
      <c r="C185" s="17"/>
      <c r="D185" s="17"/>
      <c r="E185" s="9" t="str">
        <f aca="false">IF(D185="","",IFERROR(INDEX(Insumos!$B$6:$B$105,MATCH(D185,Insumos!$A$6:$A$105,0)),"No existe"))</f>
        <v/>
      </c>
      <c r="F185" s="9" t="str">
        <f aca="false">IF(D185="","",IFERROR(INDEX(Insumos!$C$6:$C$105,MATCH(D185,Insumos!$A$6:$A$105,0)),""))</f>
        <v/>
      </c>
      <c r="G185" s="9" t="str">
        <f aca="false">IF(D185="","",IFERROR(INDEX(Insumos!$D$6:$D$105,MATCH(D185,Insumos!$A$6:$A$105,0)),""))</f>
        <v/>
      </c>
      <c r="H185" s="22"/>
      <c r="I185" s="23" t="str">
        <f aca="false">IF(D185="","",IFERROR(INDEX(Insumos!$E$6:$E$105,MATCH(D185,Insumos!$A$6:$A$105,0)),0))</f>
        <v/>
      </c>
      <c r="J185" s="23" t="str">
        <f aca="false">IF(OR(D185="",H185=""),"",H185*I185)</f>
        <v/>
      </c>
    </row>
    <row r="186" customFormat="false" ht="15" hidden="false" customHeight="false" outlineLevel="0" collapsed="false">
      <c r="A186" s="17"/>
      <c r="B186" s="17"/>
      <c r="C186" s="17"/>
      <c r="D186" s="17"/>
      <c r="E186" s="9" t="str">
        <f aca="false">IF(D186="","",IFERROR(INDEX(Insumos!$B$6:$B$105,MATCH(D186,Insumos!$A$6:$A$105,0)),"No existe"))</f>
        <v/>
      </c>
      <c r="F186" s="9" t="str">
        <f aca="false">IF(D186="","",IFERROR(INDEX(Insumos!$C$6:$C$105,MATCH(D186,Insumos!$A$6:$A$105,0)),""))</f>
        <v/>
      </c>
      <c r="G186" s="9" t="str">
        <f aca="false">IF(D186="","",IFERROR(INDEX(Insumos!$D$6:$D$105,MATCH(D186,Insumos!$A$6:$A$105,0)),""))</f>
        <v/>
      </c>
      <c r="H186" s="22"/>
      <c r="I186" s="23" t="str">
        <f aca="false">IF(D186="","",IFERROR(INDEX(Insumos!$E$6:$E$105,MATCH(D186,Insumos!$A$6:$A$105,0)),0))</f>
        <v/>
      </c>
      <c r="J186" s="23" t="str">
        <f aca="false">IF(OR(D186="",H186=""),"",H186*I186)</f>
        <v/>
      </c>
    </row>
    <row r="187" customFormat="false" ht="15" hidden="false" customHeight="false" outlineLevel="0" collapsed="false">
      <c r="A187" s="17"/>
      <c r="B187" s="17"/>
      <c r="C187" s="17"/>
      <c r="D187" s="17"/>
      <c r="E187" s="9" t="str">
        <f aca="false">IF(D187="","",IFERROR(INDEX(Insumos!$B$6:$B$105,MATCH(D187,Insumos!$A$6:$A$105,0)),"No existe"))</f>
        <v/>
      </c>
      <c r="F187" s="9" t="str">
        <f aca="false">IF(D187="","",IFERROR(INDEX(Insumos!$C$6:$C$105,MATCH(D187,Insumos!$A$6:$A$105,0)),""))</f>
        <v/>
      </c>
      <c r="G187" s="9" t="str">
        <f aca="false">IF(D187="","",IFERROR(INDEX(Insumos!$D$6:$D$105,MATCH(D187,Insumos!$A$6:$A$105,0)),""))</f>
        <v/>
      </c>
      <c r="H187" s="22"/>
      <c r="I187" s="23" t="str">
        <f aca="false">IF(D187="","",IFERROR(INDEX(Insumos!$E$6:$E$105,MATCH(D187,Insumos!$A$6:$A$105,0)),0))</f>
        <v/>
      </c>
      <c r="J187" s="23" t="str">
        <f aca="false">IF(OR(D187="",H187=""),"",H187*I187)</f>
        <v/>
      </c>
    </row>
    <row r="188" customFormat="false" ht="15" hidden="false" customHeight="false" outlineLevel="0" collapsed="false">
      <c r="A188" s="17"/>
      <c r="B188" s="17"/>
      <c r="C188" s="17"/>
      <c r="D188" s="17"/>
      <c r="E188" s="9" t="str">
        <f aca="false">IF(D188="","",IFERROR(INDEX(Insumos!$B$6:$B$105,MATCH(D188,Insumos!$A$6:$A$105,0)),"No existe"))</f>
        <v/>
      </c>
      <c r="F188" s="9" t="str">
        <f aca="false">IF(D188="","",IFERROR(INDEX(Insumos!$C$6:$C$105,MATCH(D188,Insumos!$A$6:$A$105,0)),""))</f>
        <v/>
      </c>
      <c r="G188" s="9" t="str">
        <f aca="false">IF(D188="","",IFERROR(INDEX(Insumos!$D$6:$D$105,MATCH(D188,Insumos!$A$6:$A$105,0)),""))</f>
        <v/>
      </c>
      <c r="H188" s="22"/>
      <c r="I188" s="23" t="str">
        <f aca="false">IF(D188="","",IFERROR(INDEX(Insumos!$E$6:$E$105,MATCH(D188,Insumos!$A$6:$A$105,0)),0))</f>
        <v/>
      </c>
      <c r="J188" s="23" t="str">
        <f aca="false">IF(OR(D188="",H188=""),"",H188*I188)</f>
        <v/>
      </c>
    </row>
    <row r="189" customFormat="false" ht="15" hidden="false" customHeight="false" outlineLevel="0" collapsed="false">
      <c r="A189" s="17"/>
      <c r="B189" s="17"/>
      <c r="C189" s="17"/>
      <c r="D189" s="17"/>
      <c r="E189" s="9" t="str">
        <f aca="false">IF(D189="","",IFERROR(INDEX(Insumos!$B$6:$B$105,MATCH(D189,Insumos!$A$6:$A$105,0)),"No existe"))</f>
        <v/>
      </c>
      <c r="F189" s="9" t="str">
        <f aca="false">IF(D189="","",IFERROR(INDEX(Insumos!$C$6:$C$105,MATCH(D189,Insumos!$A$6:$A$105,0)),""))</f>
        <v/>
      </c>
      <c r="G189" s="9" t="str">
        <f aca="false">IF(D189="","",IFERROR(INDEX(Insumos!$D$6:$D$105,MATCH(D189,Insumos!$A$6:$A$105,0)),""))</f>
        <v/>
      </c>
      <c r="H189" s="22"/>
      <c r="I189" s="23" t="str">
        <f aca="false">IF(D189="","",IFERROR(INDEX(Insumos!$E$6:$E$105,MATCH(D189,Insumos!$A$6:$A$105,0)),0))</f>
        <v/>
      </c>
      <c r="J189" s="23" t="str">
        <f aca="false">IF(OR(D189="",H189=""),"",H189*I189)</f>
        <v/>
      </c>
    </row>
    <row r="190" customFormat="false" ht="15" hidden="false" customHeight="false" outlineLevel="0" collapsed="false">
      <c r="A190" s="17"/>
      <c r="B190" s="17"/>
      <c r="C190" s="17"/>
      <c r="D190" s="17"/>
      <c r="E190" s="9" t="str">
        <f aca="false">IF(D190="","",IFERROR(INDEX(Insumos!$B$6:$B$105,MATCH(D190,Insumos!$A$6:$A$105,0)),"No existe"))</f>
        <v/>
      </c>
      <c r="F190" s="9" t="str">
        <f aca="false">IF(D190="","",IFERROR(INDEX(Insumos!$C$6:$C$105,MATCH(D190,Insumos!$A$6:$A$105,0)),""))</f>
        <v/>
      </c>
      <c r="G190" s="9" t="str">
        <f aca="false">IF(D190="","",IFERROR(INDEX(Insumos!$D$6:$D$105,MATCH(D190,Insumos!$A$6:$A$105,0)),""))</f>
        <v/>
      </c>
      <c r="H190" s="22"/>
      <c r="I190" s="23" t="str">
        <f aca="false">IF(D190="","",IFERROR(INDEX(Insumos!$E$6:$E$105,MATCH(D190,Insumos!$A$6:$A$105,0)),0))</f>
        <v/>
      </c>
      <c r="J190" s="23" t="str">
        <f aca="false">IF(OR(D190="",H190=""),"",H190*I190)</f>
        <v/>
      </c>
    </row>
    <row r="191" customFormat="false" ht="15" hidden="false" customHeight="false" outlineLevel="0" collapsed="false">
      <c r="A191" s="17"/>
      <c r="B191" s="17"/>
      <c r="C191" s="17"/>
      <c r="D191" s="17"/>
      <c r="E191" s="9" t="str">
        <f aca="false">IF(D191="","",IFERROR(INDEX(Insumos!$B$6:$B$105,MATCH(D191,Insumos!$A$6:$A$105,0)),"No existe"))</f>
        <v/>
      </c>
      <c r="F191" s="9" t="str">
        <f aca="false">IF(D191="","",IFERROR(INDEX(Insumos!$C$6:$C$105,MATCH(D191,Insumos!$A$6:$A$105,0)),""))</f>
        <v/>
      </c>
      <c r="G191" s="9" t="str">
        <f aca="false">IF(D191="","",IFERROR(INDEX(Insumos!$D$6:$D$105,MATCH(D191,Insumos!$A$6:$A$105,0)),""))</f>
        <v/>
      </c>
      <c r="H191" s="22"/>
      <c r="I191" s="23" t="str">
        <f aca="false">IF(D191="","",IFERROR(INDEX(Insumos!$E$6:$E$105,MATCH(D191,Insumos!$A$6:$A$105,0)),0))</f>
        <v/>
      </c>
      <c r="J191" s="23" t="str">
        <f aca="false">IF(OR(D191="",H191=""),"",H191*I191)</f>
        <v/>
      </c>
    </row>
    <row r="192" customFormat="false" ht="15" hidden="false" customHeight="false" outlineLevel="0" collapsed="false">
      <c r="A192" s="17"/>
      <c r="B192" s="17"/>
      <c r="C192" s="17"/>
      <c r="D192" s="17"/>
      <c r="E192" s="9" t="str">
        <f aca="false">IF(D192="","",IFERROR(INDEX(Insumos!$B$6:$B$105,MATCH(D192,Insumos!$A$6:$A$105,0)),"No existe"))</f>
        <v/>
      </c>
      <c r="F192" s="9" t="str">
        <f aca="false">IF(D192="","",IFERROR(INDEX(Insumos!$C$6:$C$105,MATCH(D192,Insumos!$A$6:$A$105,0)),""))</f>
        <v/>
      </c>
      <c r="G192" s="9" t="str">
        <f aca="false">IF(D192="","",IFERROR(INDEX(Insumos!$D$6:$D$105,MATCH(D192,Insumos!$A$6:$A$105,0)),""))</f>
        <v/>
      </c>
      <c r="H192" s="22"/>
      <c r="I192" s="23" t="str">
        <f aca="false">IF(D192="","",IFERROR(INDEX(Insumos!$E$6:$E$105,MATCH(D192,Insumos!$A$6:$A$105,0)),0))</f>
        <v/>
      </c>
      <c r="J192" s="23" t="str">
        <f aca="false">IF(OR(D192="",H192=""),"",H192*I192)</f>
        <v/>
      </c>
    </row>
    <row r="193" customFormat="false" ht="15" hidden="false" customHeight="false" outlineLevel="0" collapsed="false">
      <c r="A193" s="17"/>
      <c r="B193" s="17"/>
      <c r="C193" s="17"/>
      <c r="D193" s="17"/>
      <c r="E193" s="9" t="str">
        <f aca="false">IF(D193="","",IFERROR(INDEX(Insumos!$B$6:$B$105,MATCH(D193,Insumos!$A$6:$A$105,0)),"No existe"))</f>
        <v/>
      </c>
      <c r="F193" s="9" t="str">
        <f aca="false">IF(D193="","",IFERROR(INDEX(Insumos!$C$6:$C$105,MATCH(D193,Insumos!$A$6:$A$105,0)),""))</f>
        <v/>
      </c>
      <c r="G193" s="9" t="str">
        <f aca="false">IF(D193="","",IFERROR(INDEX(Insumos!$D$6:$D$105,MATCH(D193,Insumos!$A$6:$A$105,0)),""))</f>
        <v/>
      </c>
      <c r="H193" s="22"/>
      <c r="I193" s="23" t="str">
        <f aca="false">IF(D193="","",IFERROR(INDEX(Insumos!$E$6:$E$105,MATCH(D193,Insumos!$A$6:$A$105,0)),0))</f>
        <v/>
      </c>
      <c r="J193" s="23" t="str">
        <f aca="false">IF(OR(D193="",H193=""),"",H193*I193)</f>
        <v/>
      </c>
    </row>
    <row r="194" customFormat="false" ht="15" hidden="false" customHeight="false" outlineLevel="0" collapsed="false">
      <c r="A194" s="17"/>
      <c r="B194" s="17"/>
      <c r="C194" s="17"/>
      <c r="D194" s="17"/>
      <c r="E194" s="9" t="str">
        <f aca="false">IF(D194="","",IFERROR(INDEX(Insumos!$B$6:$B$105,MATCH(D194,Insumos!$A$6:$A$105,0)),"No existe"))</f>
        <v/>
      </c>
      <c r="F194" s="9" t="str">
        <f aca="false">IF(D194="","",IFERROR(INDEX(Insumos!$C$6:$C$105,MATCH(D194,Insumos!$A$6:$A$105,0)),""))</f>
        <v/>
      </c>
      <c r="G194" s="9" t="str">
        <f aca="false">IF(D194="","",IFERROR(INDEX(Insumos!$D$6:$D$105,MATCH(D194,Insumos!$A$6:$A$105,0)),""))</f>
        <v/>
      </c>
      <c r="H194" s="22"/>
      <c r="I194" s="23" t="str">
        <f aca="false">IF(D194="","",IFERROR(INDEX(Insumos!$E$6:$E$105,MATCH(D194,Insumos!$A$6:$A$105,0)),0))</f>
        <v/>
      </c>
      <c r="J194" s="23" t="str">
        <f aca="false">IF(OR(D194="",H194=""),"",H194*I194)</f>
        <v/>
      </c>
    </row>
    <row r="195" customFormat="false" ht="15" hidden="false" customHeight="false" outlineLevel="0" collapsed="false">
      <c r="A195" s="17"/>
      <c r="B195" s="17"/>
      <c r="C195" s="17"/>
      <c r="D195" s="17"/>
      <c r="E195" s="9" t="str">
        <f aca="false">IF(D195="","",IFERROR(INDEX(Insumos!$B$6:$B$105,MATCH(D195,Insumos!$A$6:$A$105,0)),"No existe"))</f>
        <v/>
      </c>
      <c r="F195" s="9" t="str">
        <f aca="false">IF(D195="","",IFERROR(INDEX(Insumos!$C$6:$C$105,MATCH(D195,Insumos!$A$6:$A$105,0)),""))</f>
        <v/>
      </c>
      <c r="G195" s="9" t="str">
        <f aca="false">IF(D195="","",IFERROR(INDEX(Insumos!$D$6:$D$105,MATCH(D195,Insumos!$A$6:$A$105,0)),""))</f>
        <v/>
      </c>
      <c r="H195" s="22"/>
      <c r="I195" s="23" t="str">
        <f aca="false">IF(D195="","",IFERROR(INDEX(Insumos!$E$6:$E$105,MATCH(D195,Insumos!$A$6:$A$105,0)),0))</f>
        <v/>
      </c>
      <c r="J195" s="23" t="str">
        <f aca="false">IF(OR(D195="",H195=""),"",H195*I195)</f>
        <v/>
      </c>
    </row>
    <row r="196" customFormat="false" ht="15" hidden="false" customHeight="false" outlineLevel="0" collapsed="false">
      <c r="A196" s="17"/>
      <c r="B196" s="17"/>
      <c r="C196" s="17"/>
      <c r="D196" s="17"/>
      <c r="E196" s="9" t="str">
        <f aca="false">IF(D196="","",IFERROR(INDEX(Insumos!$B$6:$B$105,MATCH(D196,Insumos!$A$6:$A$105,0)),"No existe"))</f>
        <v/>
      </c>
      <c r="F196" s="9" t="str">
        <f aca="false">IF(D196="","",IFERROR(INDEX(Insumos!$C$6:$C$105,MATCH(D196,Insumos!$A$6:$A$105,0)),""))</f>
        <v/>
      </c>
      <c r="G196" s="9" t="str">
        <f aca="false">IF(D196="","",IFERROR(INDEX(Insumos!$D$6:$D$105,MATCH(D196,Insumos!$A$6:$A$105,0)),""))</f>
        <v/>
      </c>
      <c r="H196" s="22"/>
      <c r="I196" s="23" t="str">
        <f aca="false">IF(D196="","",IFERROR(INDEX(Insumos!$E$6:$E$105,MATCH(D196,Insumos!$A$6:$A$105,0)),0))</f>
        <v/>
      </c>
      <c r="J196" s="23" t="str">
        <f aca="false">IF(OR(D196="",H196=""),"",H196*I196)</f>
        <v/>
      </c>
    </row>
    <row r="197" customFormat="false" ht="15" hidden="false" customHeight="false" outlineLevel="0" collapsed="false">
      <c r="A197" s="17"/>
      <c r="B197" s="17"/>
      <c r="C197" s="17"/>
      <c r="D197" s="17"/>
      <c r="E197" s="9" t="str">
        <f aca="false">IF(D197="","",IFERROR(INDEX(Insumos!$B$6:$B$105,MATCH(D197,Insumos!$A$6:$A$105,0)),"No existe"))</f>
        <v/>
      </c>
      <c r="F197" s="9" t="str">
        <f aca="false">IF(D197="","",IFERROR(INDEX(Insumos!$C$6:$C$105,MATCH(D197,Insumos!$A$6:$A$105,0)),""))</f>
        <v/>
      </c>
      <c r="G197" s="9" t="str">
        <f aca="false">IF(D197="","",IFERROR(INDEX(Insumos!$D$6:$D$105,MATCH(D197,Insumos!$A$6:$A$105,0)),""))</f>
        <v/>
      </c>
      <c r="H197" s="22"/>
      <c r="I197" s="23" t="str">
        <f aca="false">IF(D197="","",IFERROR(INDEX(Insumos!$E$6:$E$105,MATCH(D197,Insumos!$A$6:$A$105,0)),0))</f>
        <v/>
      </c>
      <c r="J197" s="23" t="str">
        <f aca="false">IF(OR(D197="",H197=""),"",H197*I197)</f>
        <v/>
      </c>
    </row>
    <row r="198" customFormat="false" ht="15" hidden="false" customHeight="false" outlineLevel="0" collapsed="false">
      <c r="A198" s="17"/>
      <c r="B198" s="17"/>
      <c r="C198" s="17"/>
      <c r="D198" s="17"/>
      <c r="E198" s="9" t="str">
        <f aca="false">IF(D198="","",IFERROR(INDEX(Insumos!$B$6:$B$105,MATCH(D198,Insumos!$A$6:$A$105,0)),"No existe"))</f>
        <v/>
      </c>
      <c r="F198" s="9" t="str">
        <f aca="false">IF(D198="","",IFERROR(INDEX(Insumos!$C$6:$C$105,MATCH(D198,Insumos!$A$6:$A$105,0)),""))</f>
        <v/>
      </c>
      <c r="G198" s="9" t="str">
        <f aca="false">IF(D198="","",IFERROR(INDEX(Insumos!$D$6:$D$105,MATCH(D198,Insumos!$A$6:$A$105,0)),""))</f>
        <v/>
      </c>
      <c r="H198" s="22"/>
      <c r="I198" s="23" t="str">
        <f aca="false">IF(D198="","",IFERROR(INDEX(Insumos!$E$6:$E$105,MATCH(D198,Insumos!$A$6:$A$105,0)),0))</f>
        <v/>
      </c>
      <c r="J198" s="23" t="str">
        <f aca="false">IF(OR(D198="",H198=""),"",H198*I198)</f>
        <v/>
      </c>
    </row>
    <row r="199" customFormat="false" ht="15" hidden="false" customHeight="false" outlineLevel="0" collapsed="false">
      <c r="A199" s="17"/>
      <c r="B199" s="17"/>
      <c r="C199" s="17"/>
      <c r="D199" s="17"/>
      <c r="E199" s="9" t="str">
        <f aca="false">IF(D199="","",IFERROR(INDEX(Insumos!$B$6:$B$105,MATCH(D199,Insumos!$A$6:$A$105,0)),"No existe"))</f>
        <v/>
      </c>
      <c r="F199" s="9" t="str">
        <f aca="false">IF(D199="","",IFERROR(INDEX(Insumos!$C$6:$C$105,MATCH(D199,Insumos!$A$6:$A$105,0)),""))</f>
        <v/>
      </c>
      <c r="G199" s="9" t="str">
        <f aca="false">IF(D199="","",IFERROR(INDEX(Insumos!$D$6:$D$105,MATCH(D199,Insumos!$A$6:$A$105,0)),""))</f>
        <v/>
      </c>
      <c r="H199" s="22"/>
      <c r="I199" s="23" t="str">
        <f aca="false">IF(D199="","",IFERROR(INDEX(Insumos!$E$6:$E$105,MATCH(D199,Insumos!$A$6:$A$105,0)),0))</f>
        <v/>
      </c>
      <c r="J199" s="23" t="str">
        <f aca="false">IF(OR(D199="",H199=""),"",H199*I199)</f>
        <v/>
      </c>
    </row>
    <row r="200" customFormat="false" ht="15" hidden="false" customHeight="false" outlineLevel="0" collapsed="false">
      <c r="A200" s="17"/>
      <c r="B200" s="17"/>
      <c r="C200" s="17"/>
      <c r="D200" s="17"/>
      <c r="E200" s="9" t="str">
        <f aca="false">IF(D200="","",IFERROR(INDEX(Insumos!$B$6:$B$105,MATCH(D200,Insumos!$A$6:$A$105,0)),"No existe"))</f>
        <v/>
      </c>
      <c r="F200" s="9" t="str">
        <f aca="false">IF(D200="","",IFERROR(INDEX(Insumos!$C$6:$C$105,MATCH(D200,Insumos!$A$6:$A$105,0)),""))</f>
        <v/>
      </c>
      <c r="G200" s="9" t="str">
        <f aca="false">IF(D200="","",IFERROR(INDEX(Insumos!$D$6:$D$105,MATCH(D200,Insumos!$A$6:$A$105,0)),""))</f>
        <v/>
      </c>
      <c r="H200" s="22"/>
      <c r="I200" s="23" t="str">
        <f aca="false">IF(D200="","",IFERROR(INDEX(Insumos!$E$6:$E$105,MATCH(D200,Insumos!$A$6:$A$105,0)),0))</f>
        <v/>
      </c>
      <c r="J200" s="23" t="str">
        <f aca="false">IF(OR(D200="",H200=""),"",H200*I200)</f>
        <v/>
      </c>
    </row>
    <row r="201" customFormat="false" ht="15" hidden="false" customHeight="false" outlineLevel="0" collapsed="false">
      <c r="A201" s="17"/>
      <c r="B201" s="17"/>
      <c r="C201" s="17"/>
      <c r="D201" s="17"/>
      <c r="E201" s="9" t="str">
        <f aca="false">IF(D201="","",IFERROR(INDEX(Insumos!$B$6:$B$105,MATCH(D201,Insumos!$A$6:$A$105,0)),"No existe"))</f>
        <v/>
      </c>
      <c r="F201" s="9" t="str">
        <f aca="false">IF(D201="","",IFERROR(INDEX(Insumos!$C$6:$C$105,MATCH(D201,Insumos!$A$6:$A$105,0)),""))</f>
        <v/>
      </c>
      <c r="G201" s="9" t="str">
        <f aca="false">IF(D201="","",IFERROR(INDEX(Insumos!$D$6:$D$105,MATCH(D201,Insumos!$A$6:$A$105,0)),""))</f>
        <v/>
      </c>
      <c r="H201" s="22"/>
      <c r="I201" s="23" t="str">
        <f aca="false">IF(D201="","",IFERROR(INDEX(Insumos!$E$6:$E$105,MATCH(D201,Insumos!$A$6:$A$105,0)),0))</f>
        <v/>
      </c>
      <c r="J201" s="23" t="str">
        <f aca="false">IF(OR(D201="",H201=""),"",H201*I201)</f>
        <v/>
      </c>
    </row>
    <row r="202" customFormat="false" ht="15" hidden="false" customHeight="false" outlineLevel="0" collapsed="false">
      <c r="A202" s="17"/>
      <c r="B202" s="17"/>
      <c r="C202" s="17"/>
      <c r="D202" s="17"/>
      <c r="E202" s="9" t="str">
        <f aca="false">IF(D202="","",IFERROR(INDEX(Insumos!$B$6:$B$105,MATCH(D202,Insumos!$A$6:$A$105,0)),"No existe"))</f>
        <v/>
      </c>
      <c r="F202" s="9" t="str">
        <f aca="false">IF(D202="","",IFERROR(INDEX(Insumos!$C$6:$C$105,MATCH(D202,Insumos!$A$6:$A$105,0)),""))</f>
        <v/>
      </c>
      <c r="G202" s="9" t="str">
        <f aca="false">IF(D202="","",IFERROR(INDEX(Insumos!$D$6:$D$105,MATCH(D202,Insumos!$A$6:$A$105,0)),""))</f>
        <v/>
      </c>
      <c r="H202" s="22"/>
      <c r="I202" s="23" t="str">
        <f aca="false">IF(D202="","",IFERROR(INDEX(Insumos!$E$6:$E$105,MATCH(D202,Insumos!$A$6:$A$105,0)),0))</f>
        <v/>
      </c>
      <c r="J202" s="23" t="str">
        <f aca="false">IF(OR(D202="",H202=""),"",H202*I202)</f>
        <v/>
      </c>
    </row>
    <row r="203" customFormat="false" ht="15" hidden="false" customHeight="false" outlineLevel="0" collapsed="false">
      <c r="A203" s="17"/>
      <c r="B203" s="17"/>
      <c r="C203" s="17"/>
      <c r="D203" s="17"/>
      <c r="E203" s="9" t="str">
        <f aca="false">IF(D203="","",IFERROR(INDEX(Insumos!$B$6:$B$105,MATCH(D203,Insumos!$A$6:$A$105,0)),"No existe"))</f>
        <v/>
      </c>
      <c r="F203" s="9" t="str">
        <f aca="false">IF(D203="","",IFERROR(INDEX(Insumos!$C$6:$C$105,MATCH(D203,Insumos!$A$6:$A$105,0)),""))</f>
        <v/>
      </c>
      <c r="G203" s="9" t="str">
        <f aca="false">IF(D203="","",IFERROR(INDEX(Insumos!$D$6:$D$105,MATCH(D203,Insumos!$A$6:$A$105,0)),""))</f>
        <v/>
      </c>
      <c r="H203" s="22"/>
      <c r="I203" s="23" t="str">
        <f aca="false">IF(D203="","",IFERROR(INDEX(Insumos!$E$6:$E$105,MATCH(D203,Insumos!$A$6:$A$105,0)),0))</f>
        <v/>
      </c>
      <c r="J203" s="23" t="str">
        <f aca="false">IF(OR(D203="",H203=""),"",H203*I203)</f>
        <v/>
      </c>
    </row>
    <row r="204" customFormat="false" ht="15" hidden="false" customHeight="false" outlineLevel="0" collapsed="false">
      <c r="A204" s="17"/>
      <c r="B204" s="17"/>
      <c r="C204" s="17"/>
      <c r="D204" s="17"/>
      <c r="E204" s="9" t="str">
        <f aca="false">IF(D204="","",IFERROR(INDEX(Insumos!$B$6:$B$105,MATCH(D204,Insumos!$A$6:$A$105,0)),"No existe"))</f>
        <v/>
      </c>
      <c r="F204" s="9" t="str">
        <f aca="false">IF(D204="","",IFERROR(INDEX(Insumos!$C$6:$C$105,MATCH(D204,Insumos!$A$6:$A$105,0)),""))</f>
        <v/>
      </c>
      <c r="G204" s="9" t="str">
        <f aca="false">IF(D204="","",IFERROR(INDEX(Insumos!$D$6:$D$105,MATCH(D204,Insumos!$A$6:$A$105,0)),""))</f>
        <v/>
      </c>
      <c r="H204" s="22"/>
      <c r="I204" s="23" t="str">
        <f aca="false">IF(D204="","",IFERROR(INDEX(Insumos!$E$6:$E$105,MATCH(D204,Insumos!$A$6:$A$105,0)),0))</f>
        <v/>
      </c>
      <c r="J204" s="23" t="str">
        <f aca="false">IF(OR(D204="",H204=""),"",H204*I204)</f>
        <v/>
      </c>
    </row>
    <row r="205" customFormat="false" ht="15" hidden="false" customHeight="false" outlineLevel="0" collapsed="false">
      <c r="A205" s="17"/>
      <c r="B205" s="17"/>
      <c r="C205" s="17"/>
      <c r="D205" s="17"/>
      <c r="E205" s="9" t="str">
        <f aca="false">IF(D205="","",IFERROR(INDEX(Insumos!$B$6:$B$105,MATCH(D205,Insumos!$A$6:$A$105,0)),"No existe"))</f>
        <v/>
      </c>
      <c r="F205" s="9" t="str">
        <f aca="false">IF(D205="","",IFERROR(INDEX(Insumos!$C$6:$C$105,MATCH(D205,Insumos!$A$6:$A$105,0)),""))</f>
        <v/>
      </c>
      <c r="G205" s="9" t="str">
        <f aca="false">IF(D205="","",IFERROR(INDEX(Insumos!$D$6:$D$105,MATCH(D205,Insumos!$A$6:$A$105,0)),""))</f>
        <v/>
      </c>
      <c r="H205" s="22"/>
      <c r="I205" s="23" t="str">
        <f aca="false">IF(D205="","",IFERROR(INDEX(Insumos!$E$6:$E$105,MATCH(D205,Insumos!$A$6:$A$105,0)),0))</f>
        <v/>
      </c>
      <c r="J205" s="23" t="str">
        <f aca="false">IF(OR(D205="",H205=""),"",H205*I205)</f>
        <v/>
      </c>
    </row>
    <row r="206" customFormat="false" ht="15" hidden="false" customHeight="false" outlineLevel="0" collapsed="false">
      <c r="A206" s="17"/>
      <c r="B206" s="17"/>
      <c r="C206" s="17"/>
      <c r="D206" s="17"/>
      <c r="E206" s="9" t="str">
        <f aca="false">IF(D206="","",IFERROR(INDEX(Insumos!$B$6:$B$105,MATCH(D206,Insumos!$A$6:$A$105,0)),"No existe"))</f>
        <v/>
      </c>
      <c r="F206" s="9" t="str">
        <f aca="false">IF(D206="","",IFERROR(INDEX(Insumos!$C$6:$C$105,MATCH(D206,Insumos!$A$6:$A$105,0)),""))</f>
        <v/>
      </c>
      <c r="G206" s="9" t="str">
        <f aca="false">IF(D206="","",IFERROR(INDEX(Insumos!$D$6:$D$105,MATCH(D206,Insumos!$A$6:$A$105,0)),""))</f>
        <v/>
      </c>
      <c r="H206" s="22"/>
      <c r="I206" s="23" t="str">
        <f aca="false">IF(D206="","",IFERROR(INDEX(Insumos!$E$6:$E$105,MATCH(D206,Insumos!$A$6:$A$105,0)),0))</f>
        <v/>
      </c>
      <c r="J206" s="23" t="str">
        <f aca="false">IF(OR(D206="",H206=""),"",H206*I206)</f>
        <v/>
      </c>
    </row>
    <row r="207" customFormat="false" ht="15" hidden="false" customHeight="false" outlineLevel="0" collapsed="false">
      <c r="A207" s="17"/>
      <c r="B207" s="17"/>
      <c r="C207" s="17"/>
      <c r="D207" s="17"/>
      <c r="E207" s="9" t="str">
        <f aca="false">IF(D207="","",IFERROR(INDEX(Insumos!$B$6:$B$105,MATCH(D207,Insumos!$A$6:$A$105,0)),"No existe"))</f>
        <v/>
      </c>
      <c r="F207" s="9" t="str">
        <f aca="false">IF(D207="","",IFERROR(INDEX(Insumos!$C$6:$C$105,MATCH(D207,Insumos!$A$6:$A$105,0)),""))</f>
        <v/>
      </c>
      <c r="G207" s="9" t="str">
        <f aca="false">IF(D207="","",IFERROR(INDEX(Insumos!$D$6:$D$105,MATCH(D207,Insumos!$A$6:$A$105,0)),""))</f>
        <v/>
      </c>
      <c r="H207" s="22"/>
      <c r="I207" s="23" t="str">
        <f aca="false">IF(D207="","",IFERROR(INDEX(Insumos!$E$6:$E$105,MATCH(D207,Insumos!$A$6:$A$105,0)),0))</f>
        <v/>
      </c>
      <c r="J207" s="23" t="str">
        <f aca="false">IF(OR(D207="",H207=""),"",H207*I207)</f>
        <v/>
      </c>
    </row>
    <row r="208" customFormat="false" ht="15" hidden="false" customHeight="false" outlineLevel="0" collapsed="false">
      <c r="A208" s="17"/>
      <c r="B208" s="17"/>
      <c r="C208" s="17"/>
      <c r="D208" s="17"/>
      <c r="E208" s="9" t="str">
        <f aca="false">IF(D208="","",IFERROR(INDEX(Insumos!$B$6:$B$105,MATCH(D208,Insumos!$A$6:$A$105,0)),"No existe"))</f>
        <v/>
      </c>
      <c r="F208" s="9" t="str">
        <f aca="false">IF(D208="","",IFERROR(INDEX(Insumos!$C$6:$C$105,MATCH(D208,Insumos!$A$6:$A$105,0)),""))</f>
        <v/>
      </c>
      <c r="G208" s="9" t="str">
        <f aca="false">IF(D208="","",IFERROR(INDEX(Insumos!$D$6:$D$105,MATCH(D208,Insumos!$A$6:$A$105,0)),""))</f>
        <v/>
      </c>
      <c r="H208" s="22"/>
      <c r="I208" s="23" t="str">
        <f aca="false">IF(D208="","",IFERROR(INDEX(Insumos!$E$6:$E$105,MATCH(D208,Insumos!$A$6:$A$105,0)),0))</f>
        <v/>
      </c>
      <c r="J208" s="23" t="str">
        <f aca="false">IF(OR(D208="",H208=""),"",H208*I208)</f>
        <v/>
      </c>
    </row>
    <row r="209" customFormat="false" ht="15" hidden="false" customHeight="false" outlineLevel="0" collapsed="false">
      <c r="A209" s="17"/>
      <c r="B209" s="17"/>
      <c r="C209" s="17"/>
      <c r="D209" s="17"/>
      <c r="E209" s="9" t="str">
        <f aca="false">IF(D209="","",IFERROR(INDEX(Insumos!$B$6:$B$105,MATCH(D209,Insumos!$A$6:$A$105,0)),"No existe"))</f>
        <v/>
      </c>
      <c r="F209" s="9" t="str">
        <f aca="false">IF(D209="","",IFERROR(INDEX(Insumos!$C$6:$C$105,MATCH(D209,Insumos!$A$6:$A$105,0)),""))</f>
        <v/>
      </c>
      <c r="G209" s="9" t="str">
        <f aca="false">IF(D209="","",IFERROR(INDEX(Insumos!$D$6:$D$105,MATCH(D209,Insumos!$A$6:$A$105,0)),""))</f>
        <v/>
      </c>
      <c r="H209" s="22"/>
      <c r="I209" s="23" t="str">
        <f aca="false">IF(D209="","",IFERROR(INDEX(Insumos!$E$6:$E$105,MATCH(D209,Insumos!$A$6:$A$105,0)),0))</f>
        <v/>
      </c>
      <c r="J209" s="23" t="str">
        <f aca="false">IF(OR(D209="",H209=""),"",H209*I209)</f>
        <v/>
      </c>
    </row>
    <row r="210" customFormat="false" ht="15" hidden="false" customHeight="false" outlineLevel="0" collapsed="false">
      <c r="A210" s="17"/>
      <c r="B210" s="17"/>
      <c r="C210" s="17"/>
      <c r="D210" s="17"/>
      <c r="E210" s="9" t="str">
        <f aca="false">IF(D210="","",IFERROR(INDEX(Insumos!$B$6:$B$105,MATCH(D210,Insumos!$A$6:$A$105,0)),"No existe"))</f>
        <v/>
      </c>
      <c r="F210" s="9" t="str">
        <f aca="false">IF(D210="","",IFERROR(INDEX(Insumos!$C$6:$C$105,MATCH(D210,Insumos!$A$6:$A$105,0)),""))</f>
        <v/>
      </c>
      <c r="G210" s="9" t="str">
        <f aca="false">IF(D210="","",IFERROR(INDEX(Insumos!$D$6:$D$105,MATCH(D210,Insumos!$A$6:$A$105,0)),""))</f>
        <v/>
      </c>
      <c r="H210" s="22"/>
      <c r="I210" s="23" t="str">
        <f aca="false">IF(D210="","",IFERROR(INDEX(Insumos!$E$6:$E$105,MATCH(D210,Insumos!$A$6:$A$105,0)),0))</f>
        <v/>
      </c>
      <c r="J210" s="23" t="str">
        <f aca="false">IF(OR(D210="",H210=""),"",H210*I210)</f>
        <v/>
      </c>
    </row>
    <row r="211" customFormat="false" ht="15" hidden="false" customHeight="false" outlineLevel="0" collapsed="false">
      <c r="A211" s="17"/>
      <c r="B211" s="17"/>
      <c r="C211" s="17"/>
      <c r="D211" s="17"/>
      <c r="E211" s="9" t="str">
        <f aca="false">IF(D211="","",IFERROR(INDEX(Insumos!$B$6:$B$105,MATCH(D211,Insumos!$A$6:$A$105,0)),"No existe"))</f>
        <v/>
      </c>
      <c r="F211" s="9" t="str">
        <f aca="false">IF(D211="","",IFERROR(INDEX(Insumos!$C$6:$C$105,MATCH(D211,Insumos!$A$6:$A$105,0)),""))</f>
        <v/>
      </c>
      <c r="G211" s="9" t="str">
        <f aca="false">IF(D211="","",IFERROR(INDEX(Insumos!$D$6:$D$105,MATCH(D211,Insumos!$A$6:$A$105,0)),""))</f>
        <v/>
      </c>
      <c r="H211" s="22"/>
      <c r="I211" s="23" t="str">
        <f aca="false">IF(D211="","",IFERROR(INDEX(Insumos!$E$6:$E$105,MATCH(D211,Insumos!$A$6:$A$105,0)),0))</f>
        <v/>
      </c>
      <c r="J211" s="23" t="str">
        <f aca="false">IF(OR(D211="",H211=""),"",H211*I211)</f>
        <v/>
      </c>
    </row>
    <row r="212" customFormat="false" ht="15" hidden="false" customHeight="false" outlineLevel="0" collapsed="false">
      <c r="A212" s="17"/>
      <c r="B212" s="17"/>
      <c r="C212" s="17"/>
      <c r="D212" s="17"/>
      <c r="E212" s="9" t="str">
        <f aca="false">IF(D212="","",IFERROR(INDEX(Insumos!$B$6:$B$105,MATCH(D212,Insumos!$A$6:$A$105,0)),"No existe"))</f>
        <v/>
      </c>
      <c r="F212" s="9" t="str">
        <f aca="false">IF(D212="","",IFERROR(INDEX(Insumos!$C$6:$C$105,MATCH(D212,Insumos!$A$6:$A$105,0)),""))</f>
        <v/>
      </c>
      <c r="G212" s="9" t="str">
        <f aca="false">IF(D212="","",IFERROR(INDEX(Insumos!$D$6:$D$105,MATCH(D212,Insumos!$A$6:$A$105,0)),""))</f>
        <v/>
      </c>
      <c r="H212" s="22"/>
      <c r="I212" s="23" t="str">
        <f aca="false">IF(D212="","",IFERROR(INDEX(Insumos!$E$6:$E$105,MATCH(D212,Insumos!$A$6:$A$105,0)),0))</f>
        <v/>
      </c>
      <c r="J212" s="23" t="str">
        <f aca="false">IF(OR(D212="",H212=""),"",H212*I212)</f>
        <v/>
      </c>
    </row>
    <row r="213" customFormat="false" ht="15" hidden="false" customHeight="false" outlineLevel="0" collapsed="false">
      <c r="A213" s="17"/>
      <c r="B213" s="17"/>
      <c r="C213" s="17"/>
      <c r="D213" s="17"/>
      <c r="E213" s="9" t="str">
        <f aca="false">IF(D213="","",IFERROR(INDEX(Insumos!$B$6:$B$105,MATCH(D213,Insumos!$A$6:$A$105,0)),"No existe"))</f>
        <v/>
      </c>
      <c r="F213" s="9" t="str">
        <f aca="false">IF(D213="","",IFERROR(INDEX(Insumos!$C$6:$C$105,MATCH(D213,Insumos!$A$6:$A$105,0)),""))</f>
        <v/>
      </c>
      <c r="G213" s="9" t="str">
        <f aca="false">IF(D213="","",IFERROR(INDEX(Insumos!$D$6:$D$105,MATCH(D213,Insumos!$A$6:$A$105,0)),""))</f>
        <v/>
      </c>
      <c r="H213" s="22"/>
      <c r="I213" s="23" t="str">
        <f aca="false">IF(D213="","",IFERROR(INDEX(Insumos!$E$6:$E$105,MATCH(D213,Insumos!$A$6:$A$105,0)),0))</f>
        <v/>
      </c>
      <c r="J213" s="23" t="str">
        <f aca="false">IF(OR(D213="",H213=""),"",H213*I213)</f>
        <v/>
      </c>
    </row>
    <row r="214" customFormat="false" ht="15" hidden="false" customHeight="false" outlineLevel="0" collapsed="false">
      <c r="A214" s="17"/>
      <c r="B214" s="17"/>
      <c r="C214" s="17"/>
      <c r="D214" s="17"/>
      <c r="E214" s="9" t="str">
        <f aca="false">IF(D214="","",IFERROR(INDEX(Insumos!$B$6:$B$105,MATCH(D214,Insumos!$A$6:$A$105,0)),"No existe"))</f>
        <v/>
      </c>
      <c r="F214" s="9" t="str">
        <f aca="false">IF(D214="","",IFERROR(INDEX(Insumos!$C$6:$C$105,MATCH(D214,Insumos!$A$6:$A$105,0)),""))</f>
        <v/>
      </c>
      <c r="G214" s="9" t="str">
        <f aca="false">IF(D214="","",IFERROR(INDEX(Insumos!$D$6:$D$105,MATCH(D214,Insumos!$A$6:$A$105,0)),""))</f>
        <v/>
      </c>
      <c r="H214" s="22"/>
      <c r="I214" s="23" t="str">
        <f aca="false">IF(D214="","",IFERROR(INDEX(Insumos!$E$6:$E$105,MATCH(D214,Insumos!$A$6:$A$105,0)),0))</f>
        <v/>
      </c>
      <c r="J214" s="23" t="str">
        <f aca="false">IF(OR(D214="",H214=""),"",H214*I214)</f>
        <v/>
      </c>
    </row>
    <row r="215" customFormat="false" ht="15" hidden="false" customHeight="false" outlineLevel="0" collapsed="false">
      <c r="A215" s="17"/>
      <c r="B215" s="17"/>
      <c r="C215" s="17"/>
      <c r="D215" s="17"/>
      <c r="E215" s="9" t="str">
        <f aca="false">IF(D215="","",IFERROR(INDEX(Insumos!$B$6:$B$105,MATCH(D215,Insumos!$A$6:$A$105,0)),"No existe"))</f>
        <v/>
      </c>
      <c r="F215" s="9" t="str">
        <f aca="false">IF(D215="","",IFERROR(INDEX(Insumos!$C$6:$C$105,MATCH(D215,Insumos!$A$6:$A$105,0)),""))</f>
        <v/>
      </c>
      <c r="G215" s="9" t="str">
        <f aca="false">IF(D215="","",IFERROR(INDEX(Insumos!$D$6:$D$105,MATCH(D215,Insumos!$A$6:$A$105,0)),""))</f>
        <v/>
      </c>
      <c r="H215" s="22"/>
      <c r="I215" s="23" t="str">
        <f aca="false">IF(D215="","",IFERROR(INDEX(Insumos!$E$6:$E$105,MATCH(D215,Insumos!$A$6:$A$105,0)),0))</f>
        <v/>
      </c>
      <c r="J215" s="23" t="str">
        <f aca="false">IF(OR(D215="",H215=""),"",H215*I215)</f>
        <v/>
      </c>
    </row>
    <row r="216" customFormat="false" ht="15" hidden="false" customHeight="false" outlineLevel="0" collapsed="false">
      <c r="A216" s="17"/>
      <c r="B216" s="17"/>
      <c r="C216" s="17"/>
      <c r="D216" s="17"/>
      <c r="E216" s="9" t="str">
        <f aca="false">IF(D216="","",IFERROR(INDEX(Insumos!$B$6:$B$105,MATCH(D216,Insumos!$A$6:$A$105,0)),"No existe"))</f>
        <v/>
      </c>
      <c r="F216" s="9" t="str">
        <f aca="false">IF(D216="","",IFERROR(INDEX(Insumos!$C$6:$C$105,MATCH(D216,Insumos!$A$6:$A$105,0)),""))</f>
        <v/>
      </c>
      <c r="G216" s="9" t="str">
        <f aca="false">IF(D216="","",IFERROR(INDEX(Insumos!$D$6:$D$105,MATCH(D216,Insumos!$A$6:$A$105,0)),""))</f>
        <v/>
      </c>
      <c r="H216" s="22"/>
      <c r="I216" s="23" t="str">
        <f aca="false">IF(D216="","",IFERROR(INDEX(Insumos!$E$6:$E$105,MATCH(D216,Insumos!$A$6:$A$105,0)),0))</f>
        <v/>
      </c>
      <c r="J216" s="23" t="str">
        <f aca="false">IF(OR(D216="",H216=""),"",H216*I216)</f>
        <v/>
      </c>
    </row>
    <row r="217" customFormat="false" ht="15" hidden="false" customHeight="false" outlineLevel="0" collapsed="false">
      <c r="A217" s="17"/>
      <c r="B217" s="17"/>
      <c r="C217" s="17"/>
      <c r="D217" s="17"/>
      <c r="E217" s="9" t="str">
        <f aca="false">IF(D217="","",IFERROR(INDEX(Insumos!$B$6:$B$105,MATCH(D217,Insumos!$A$6:$A$105,0)),"No existe"))</f>
        <v/>
      </c>
      <c r="F217" s="9" t="str">
        <f aca="false">IF(D217="","",IFERROR(INDEX(Insumos!$C$6:$C$105,MATCH(D217,Insumos!$A$6:$A$105,0)),""))</f>
        <v/>
      </c>
      <c r="G217" s="9" t="str">
        <f aca="false">IF(D217="","",IFERROR(INDEX(Insumos!$D$6:$D$105,MATCH(D217,Insumos!$A$6:$A$105,0)),""))</f>
        <v/>
      </c>
      <c r="H217" s="22"/>
      <c r="I217" s="23" t="str">
        <f aca="false">IF(D217="","",IFERROR(INDEX(Insumos!$E$6:$E$105,MATCH(D217,Insumos!$A$6:$A$105,0)),0))</f>
        <v/>
      </c>
      <c r="J217" s="23" t="str">
        <f aca="false">IF(OR(D217="",H217=""),"",H217*I217)</f>
        <v/>
      </c>
    </row>
    <row r="218" customFormat="false" ht="15" hidden="false" customHeight="false" outlineLevel="0" collapsed="false">
      <c r="A218" s="17"/>
      <c r="B218" s="17"/>
      <c r="C218" s="17"/>
      <c r="D218" s="17"/>
      <c r="E218" s="9" t="str">
        <f aca="false">IF(D218="","",IFERROR(INDEX(Insumos!$B$6:$B$105,MATCH(D218,Insumos!$A$6:$A$105,0)),"No existe"))</f>
        <v/>
      </c>
      <c r="F218" s="9" t="str">
        <f aca="false">IF(D218="","",IFERROR(INDEX(Insumos!$C$6:$C$105,MATCH(D218,Insumos!$A$6:$A$105,0)),""))</f>
        <v/>
      </c>
      <c r="G218" s="9" t="str">
        <f aca="false">IF(D218="","",IFERROR(INDEX(Insumos!$D$6:$D$105,MATCH(D218,Insumos!$A$6:$A$105,0)),""))</f>
        <v/>
      </c>
      <c r="H218" s="22"/>
      <c r="I218" s="23" t="str">
        <f aca="false">IF(D218="","",IFERROR(INDEX(Insumos!$E$6:$E$105,MATCH(D218,Insumos!$A$6:$A$105,0)),0))</f>
        <v/>
      </c>
      <c r="J218" s="23" t="str">
        <f aca="false">IF(OR(D218="",H218=""),"",H218*I218)</f>
        <v/>
      </c>
    </row>
    <row r="219" customFormat="false" ht="15" hidden="false" customHeight="false" outlineLevel="0" collapsed="false">
      <c r="A219" s="17"/>
      <c r="B219" s="17"/>
      <c r="C219" s="17"/>
      <c r="D219" s="17"/>
      <c r="E219" s="9" t="str">
        <f aca="false">IF(D219="","",IFERROR(INDEX(Insumos!$B$6:$B$105,MATCH(D219,Insumos!$A$6:$A$105,0)),"No existe"))</f>
        <v/>
      </c>
      <c r="F219" s="9" t="str">
        <f aca="false">IF(D219="","",IFERROR(INDEX(Insumos!$C$6:$C$105,MATCH(D219,Insumos!$A$6:$A$105,0)),""))</f>
        <v/>
      </c>
      <c r="G219" s="9" t="str">
        <f aca="false">IF(D219="","",IFERROR(INDEX(Insumos!$D$6:$D$105,MATCH(D219,Insumos!$A$6:$A$105,0)),""))</f>
        <v/>
      </c>
      <c r="H219" s="22"/>
      <c r="I219" s="23" t="str">
        <f aca="false">IF(D219="","",IFERROR(INDEX(Insumos!$E$6:$E$105,MATCH(D219,Insumos!$A$6:$A$105,0)),0))</f>
        <v/>
      </c>
      <c r="J219" s="23" t="str">
        <f aca="false">IF(OR(D219="",H219=""),"",H219*I219)</f>
        <v/>
      </c>
    </row>
    <row r="220" customFormat="false" ht="15" hidden="false" customHeight="false" outlineLevel="0" collapsed="false">
      <c r="A220" s="17"/>
      <c r="B220" s="17"/>
      <c r="C220" s="17"/>
      <c r="D220" s="17"/>
      <c r="E220" s="9" t="str">
        <f aca="false">IF(D220="","",IFERROR(INDEX(Insumos!$B$6:$B$105,MATCH(D220,Insumos!$A$6:$A$105,0)),"No existe"))</f>
        <v/>
      </c>
      <c r="F220" s="9" t="str">
        <f aca="false">IF(D220="","",IFERROR(INDEX(Insumos!$C$6:$C$105,MATCH(D220,Insumos!$A$6:$A$105,0)),""))</f>
        <v/>
      </c>
      <c r="G220" s="9" t="str">
        <f aca="false">IF(D220="","",IFERROR(INDEX(Insumos!$D$6:$D$105,MATCH(D220,Insumos!$A$6:$A$105,0)),""))</f>
        <v/>
      </c>
      <c r="H220" s="22"/>
      <c r="I220" s="23" t="str">
        <f aca="false">IF(D220="","",IFERROR(INDEX(Insumos!$E$6:$E$105,MATCH(D220,Insumos!$A$6:$A$105,0)),0))</f>
        <v/>
      </c>
      <c r="J220" s="23" t="str">
        <f aca="false">IF(OR(D220="",H220=""),"",H220*I220)</f>
        <v/>
      </c>
    </row>
    <row r="221" customFormat="false" ht="15" hidden="false" customHeight="false" outlineLevel="0" collapsed="false">
      <c r="A221" s="17"/>
      <c r="B221" s="17"/>
      <c r="C221" s="17"/>
      <c r="D221" s="17"/>
      <c r="E221" s="9" t="str">
        <f aca="false">IF(D221="","",IFERROR(INDEX(Insumos!$B$6:$B$105,MATCH(D221,Insumos!$A$6:$A$105,0)),"No existe"))</f>
        <v/>
      </c>
      <c r="F221" s="9" t="str">
        <f aca="false">IF(D221="","",IFERROR(INDEX(Insumos!$C$6:$C$105,MATCH(D221,Insumos!$A$6:$A$105,0)),""))</f>
        <v/>
      </c>
      <c r="G221" s="9" t="str">
        <f aca="false">IF(D221="","",IFERROR(INDEX(Insumos!$D$6:$D$105,MATCH(D221,Insumos!$A$6:$A$105,0)),""))</f>
        <v/>
      </c>
      <c r="H221" s="22"/>
      <c r="I221" s="23" t="str">
        <f aca="false">IF(D221="","",IFERROR(INDEX(Insumos!$E$6:$E$105,MATCH(D221,Insumos!$A$6:$A$105,0)),0))</f>
        <v/>
      </c>
      <c r="J221" s="23" t="str">
        <f aca="false">IF(OR(D221="",H221=""),"",H221*I221)</f>
        <v/>
      </c>
    </row>
    <row r="222" customFormat="false" ht="15" hidden="false" customHeight="false" outlineLevel="0" collapsed="false">
      <c r="A222" s="17"/>
      <c r="B222" s="17"/>
      <c r="C222" s="17"/>
      <c r="D222" s="17"/>
      <c r="E222" s="9" t="str">
        <f aca="false">IF(D222="","",IFERROR(INDEX(Insumos!$B$6:$B$105,MATCH(D222,Insumos!$A$6:$A$105,0)),"No existe"))</f>
        <v/>
      </c>
      <c r="F222" s="9" t="str">
        <f aca="false">IF(D222="","",IFERROR(INDEX(Insumos!$C$6:$C$105,MATCH(D222,Insumos!$A$6:$A$105,0)),""))</f>
        <v/>
      </c>
      <c r="G222" s="9" t="str">
        <f aca="false">IF(D222="","",IFERROR(INDEX(Insumos!$D$6:$D$105,MATCH(D222,Insumos!$A$6:$A$105,0)),""))</f>
        <v/>
      </c>
      <c r="H222" s="22"/>
      <c r="I222" s="23" t="str">
        <f aca="false">IF(D222="","",IFERROR(INDEX(Insumos!$E$6:$E$105,MATCH(D222,Insumos!$A$6:$A$105,0)),0))</f>
        <v/>
      </c>
      <c r="J222" s="23" t="str">
        <f aca="false">IF(OR(D222="",H222=""),"",H222*I222)</f>
        <v/>
      </c>
    </row>
    <row r="223" customFormat="false" ht="15" hidden="false" customHeight="false" outlineLevel="0" collapsed="false">
      <c r="A223" s="17"/>
      <c r="B223" s="17"/>
      <c r="C223" s="17"/>
      <c r="D223" s="17"/>
      <c r="E223" s="9" t="str">
        <f aca="false">IF(D223="","",IFERROR(INDEX(Insumos!$B$6:$B$105,MATCH(D223,Insumos!$A$6:$A$105,0)),"No existe"))</f>
        <v/>
      </c>
      <c r="F223" s="9" t="str">
        <f aca="false">IF(D223="","",IFERROR(INDEX(Insumos!$C$6:$C$105,MATCH(D223,Insumos!$A$6:$A$105,0)),""))</f>
        <v/>
      </c>
      <c r="G223" s="9" t="str">
        <f aca="false">IF(D223="","",IFERROR(INDEX(Insumos!$D$6:$D$105,MATCH(D223,Insumos!$A$6:$A$105,0)),""))</f>
        <v/>
      </c>
      <c r="H223" s="22"/>
      <c r="I223" s="23" t="str">
        <f aca="false">IF(D223="","",IFERROR(INDEX(Insumos!$E$6:$E$105,MATCH(D223,Insumos!$A$6:$A$105,0)),0))</f>
        <v/>
      </c>
      <c r="J223" s="23" t="str">
        <f aca="false">IF(OR(D223="",H223=""),"",H223*I223)</f>
        <v/>
      </c>
    </row>
    <row r="224" customFormat="false" ht="15" hidden="false" customHeight="false" outlineLevel="0" collapsed="false">
      <c r="A224" s="17"/>
      <c r="B224" s="17"/>
      <c r="C224" s="17"/>
      <c r="D224" s="17"/>
      <c r="E224" s="9" t="str">
        <f aca="false">IF(D224="","",IFERROR(INDEX(Insumos!$B$6:$B$105,MATCH(D224,Insumos!$A$6:$A$105,0)),"No existe"))</f>
        <v/>
      </c>
      <c r="F224" s="9" t="str">
        <f aca="false">IF(D224="","",IFERROR(INDEX(Insumos!$C$6:$C$105,MATCH(D224,Insumos!$A$6:$A$105,0)),""))</f>
        <v/>
      </c>
      <c r="G224" s="9" t="str">
        <f aca="false">IF(D224="","",IFERROR(INDEX(Insumos!$D$6:$D$105,MATCH(D224,Insumos!$A$6:$A$105,0)),""))</f>
        <v/>
      </c>
      <c r="H224" s="22"/>
      <c r="I224" s="23" t="str">
        <f aca="false">IF(D224="","",IFERROR(INDEX(Insumos!$E$6:$E$105,MATCH(D224,Insumos!$A$6:$A$105,0)),0))</f>
        <v/>
      </c>
      <c r="J224" s="23" t="str">
        <f aca="false">IF(OR(D224="",H224=""),"",H224*I224)</f>
        <v/>
      </c>
    </row>
    <row r="225" customFormat="false" ht="15" hidden="false" customHeight="false" outlineLevel="0" collapsed="false">
      <c r="A225" s="17"/>
      <c r="B225" s="17"/>
      <c r="C225" s="17"/>
      <c r="D225" s="17"/>
      <c r="E225" s="9" t="str">
        <f aca="false">IF(D225="","",IFERROR(INDEX(Insumos!$B$6:$B$105,MATCH(D225,Insumos!$A$6:$A$105,0)),"No existe"))</f>
        <v/>
      </c>
      <c r="F225" s="9" t="str">
        <f aca="false">IF(D225="","",IFERROR(INDEX(Insumos!$C$6:$C$105,MATCH(D225,Insumos!$A$6:$A$105,0)),""))</f>
        <v/>
      </c>
      <c r="G225" s="9" t="str">
        <f aca="false">IF(D225="","",IFERROR(INDEX(Insumos!$D$6:$D$105,MATCH(D225,Insumos!$A$6:$A$105,0)),""))</f>
        <v/>
      </c>
      <c r="H225" s="22"/>
      <c r="I225" s="23" t="str">
        <f aca="false">IF(D225="","",IFERROR(INDEX(Insumos!$E$6:$E$105,MATCH(D225,Insumos!$A$6:$A$105,0)),0))</f>
        <v/>
      </c>
      <c r="J225" s="23" t="str">
        <f aca="false">IF(OR(D225="",H225=""),"",H225*I225)</f>
        <v/>
      </c>
    </row>
    <row r="226" customFormat="false" ht="15" hidden="false" customHeight="false" outlineLevel="0" collapsed="false">
      <c r="A226" s="17"/>
      <c r="B226" s="17"/>
      <c r="C226" s="17"/>
      <c r="D226" s="17"/>
      <c r="E226" s="9" t="str">
        <f aca="false">IF(D226="","",IFERROR(INDEX(Insumos!$B$6:$B$105,MATCH(D226,Insumos!$A$6:$A$105,0)),"No existe"))</f>
        <v/>
      </c>
      <c r="F226" s="9" t="str">
        <f aca="false">IF(D226="","",IFERROR(INDEX(Insumos!$C$6:$C$105,MATCH(D226,Insumos!$A$6:$A$105,0)),""))</f>
        <v/>
      </c>
      <c r="G226" s="9" t="str">
        <f aca="false">IF(D226="","",IFERROR(INDEX(Insumos!$D$6:$D$105,MATCH(D226,Insumos!$A$6:$A$105,0)),""))</f>
        <v/>
      </c>
      <c r="H226" s="22"/>
      <c r="I226" s="23" t="str">
        <f aca="false">IF(D226="","",IFERROR(INDEX(Insumos!$E$6:$E$105,MATCH(D226,Insumos!$A$6:$A$105,0)),0))</f>
        <v/>
      </c>
      <c r="J226" s="23" t="str">
        <f aca="false">IF(OR(D226="",H226=""),"",H226*I226)</f>
        <v/>
      </c>
    </row>
    <row r="227" customFormat="false" ht="15" hidden="false" customHeight="false" outlineLevel="0" collapsed="false">
      <c r="A227" s="17"/>
      <c r="B227" s="17"/>
      <c r="C227" s="17"/>
      <c r="D227" s="17"/>
      <c r="E227" s="9" t="str">
        <f aca="false">IF(D227="","",IFERROR(INDEX(Insumos!$B$6:$B$105,MATCH(D227,Insumos!$A$6:$A$105,0)),"No existe"))</f>
        <v/>
      </c>
      <c r="F227" s="9" t="str">
        <f aca="false">IF(D227="","",IFERROR(INDEX(Insumos!$C$6:$C$105,MATCH(D227,Insumos!$A$6:$A$105,0)),""))</f>
        <v/>
      </c>
      <c r="G227" s="9" t="str">
        <f aca="false">IF(D227="","",IFERROR(INDEX(Insumos!$D$6:$D$105,MATCH(D227,Insumos!$A$6:$A$105,0)),""))</f>
        <v/>
      </c>
      <c r="H227" s="22"/>
      <c r="I227" s="23" t="str">
        <f aca="false">IF(D227="","",IFERROR(INDEX(Insumos!$E$6:$E$105,MATCH(D227,Insumos!$A$6:$A$105,0)),0))</f>
        <v/>
      </c>
      <c r="J227" s="23" t="str">
        <f aca="false">IF(OR(D227="",H227=""),"",H227*I227)</f>
        <v/>
      </c>
    </row>
    <row r="228" customFormat="false" ht="15" hidden="false" customHeight="false" outlineLevel="0" collapsed="false">
      <c r="A228" s="17"/>
      <c r="B228" s="17"/>
      <c r="C228" s="17"/>
      <c r="D228" s="17"/>
      <c r="E228" s="9" t="str">
        <f aca="false">IF(D228="","",IFERROR(INDEX(Insumos!$B$6:$B$105,MATCH(D228,Insumos!$A$6:$A$105,0)),"No existe"))</f>
        <v/>
      </c>
      <c r="F228" s="9" t="str">
        <f aca="false">IF(D228="","",IFERROR(INDEX(Insumos!$C$6:$C$105,MATCH(D228,Insumos!$A$6:$A$105,0)),""))</f>
        <v/>
      </c>
      <c r="G228" s="9" t="str">
        <f aca="false">IF(D228="","",IFERROR(INDEX(Insumos!$D$6:$D$105,MATCH(D228,Insumos!$A$6:$A$105,0)),""))</f>
        <v/>
      </c>
      <c r="H228" s="22"/>
      <c r="I228" s="23" t="str">
        <f aca="false">IF(D228="","",IFERROR(INDEX(Insumos!$E$6:$E$105,MATCH(D228,Insumos!$A$6:$A$105,0)),0))</f>
        <v/>
      </c>
      <c r="J228" s="23" t="str">
        <f aca="false">IF(OR(D228="",H228=""),"",H228*I228)</f>
        <v/>
      </c>
    </row>
    <row r="229" customFormat="false" ht="15" hidden="false" customHeight="false" outlineLevel="0" collapsed="false">
      <c r="A229" s="17"/>
      <c r="B229" s="17"/>
      <c r="C229" s="17"/>
      <c r="D229" s="17"/>
      <c r="E229" s="9" t="str">
        <f aca="false">IF(D229="","",IFERROR(INDEX(Insumos!$B$6:$B$105,MATCH(D229,Insumos!$A$6:$A$105,0)),"No existe"))</f>
        <v/>
      </c>
      <c r="F229" s="9" t="str">
        <f aca="false">IF(D229="","",IFERROR(INDEX(Insumos!$C$6:$C$105,MATCH(D229,Insumos!$A$6:$A$105,0)),""))</f>
        <v/>
      </c>
      <c r="G229" s="9" t="str">
        <f aca="false">IF(D229="","",IFERROR(INDEX(Insumos!$D$6:$D$105,MATCH(D229,Insumos!$A$6:$A$105,0)),""))</f>
        <v/>
      </c>
      <c r="H229" s="22"/>
      <c r="I229" s="23" t="str">
        <f aca="false">IF(D229="","",IFERROR(INDEX(Insumos!$E$6:$E$105,MATCH(D229,Insumos!$A$6:$A$105,0)),0))</f>
        <v/>
      </c>
      <c r="J229" s="23" t="str">
        <f aca="false">IF(OR(D229="",H229=""),"",H229*I229)</f>
        <v/>
      </c>
    </row>
    <row r="230" customFormat="false" ht="15" hidden="false" customHeight="false" outlineLevel="0" collapsed="false">
      <c r="A230" s="17"/>
      <c r="B230" s="17"/>
      <c r="C230" s="17"/>
      <c r="D230" s="17"/>
      <c r="E230" s="9" t="str">
        <f aca="false">IF(D230="","",IFERROR(INDEX(Insumos!$B$6:$B$105,MATCH(D230,Insumos!$A$6:$A$105,0)),"No existe"))</f>
        <v/>
      </c>
      <c r="F230" s="9" t="str">
        <f aca="false">IF(D230="","",IFERROR(INDEX(Insumos!$C$6:$C$105,MATCH(D230,Insumos!$A$6:$A$105,0)),""))</f>
        <v/>
      </c>
      <c r="G230" s="9" t="str">
        <f aca="false">IF(D230="","",IFERROR(INDEX(Insumos!$D$6:$D$105,MATCH(D230,Insumos!$A$6:$A$105,0)),""))</f>
        <v/>
      </c>
      <c r="H230" s="22"/>
      <c r="I230" s="23" t="str">
        <f aca="false">IF(D230="","",IFERROR(INDEX(Insumos!$E$6:$E$105,MATCH(D230,Insumos!$A$6:$A$105,0)),0))</f>
        <v/>
      </c>
      <c r="J230" s="23" t="str">
        <f aca="false">IF(OR(D230="",H230=""),"",H230*I230)</f>
        <v/>
      </c>
    </row>
    <row r="231" customFormat="false" ht="15" hidden="false" customHeight="false" outlineLevel="0" collapsed="false">
      <c r="A231" s="17"/>
      <c r="B231" s="17"/>
      <c r="C231" s="17"/>
      <c r="D231" s="17"/>
      <c r="E231" s="9" t="str">
        <f aca="false">IF(D231="","",IFERROR(INDEX(Insumos!$B$6:$B$105,MATCH(D231,Insumos!$A$6:$A$105,0)),"No existe"))</f>
        <v/>
      </c>
      <c r="F231" s="9" t="str">
        <f aca="false">IF(D231="","",IFERROR(INDEX(Insumos!$C$6:$C$105,MATCH(D231,Insumos!$A$6:$A$105,0)),""))</f>
        <v/>
      </c>
      <c r="G231" s="9" t="str">
        <f aca="false">IF(D231="","",IFERROR(INDEX(Insumos!$D$6:$D$105,MATCH(D231,Insumos!$A$6:$A$105,0)),""))</f>
        <v/>
      </c>
      <c r="H231" s="22"/>
      <c r="I231" s="23" t="str">
        <f aca="false">IF(D231="","",IFERROR(INDEX(Insumos!$E$6:$E$105,MATCH(D231,Insumos!$A$6:$A$105,0)),0))</f>
        <v/>
      </c>
      <c r="J231" s="23" t="str">
        <f aca="false">IF(OR(D231="",H231=""),"",H231*I231)</f>
        <v/>
      </c>
    </row>
    <row r="232" customFormat="false" ht="15" hidden="false" customHeight="false" outlineLevel="0" collapsed="false">
      <c r="A232" s="17"/>
      <c r="B232" s="17"/>
      <c r="C232" s="17"/>
      <c r="D232" s="17"/>
      <c r="E232" s="9" t="str">
        <f aca="false">IF(D232="","",IFERROR(INDEX(Insumos!$B$6:$B$105,MATCH(D232,Insumos!$A$6:$A$105,0)),"No existe"))</f>
        <v/>
      </c>
      <c r="F232" s="9" t="str">
        <f aca="false">IF(D232="","",IFERROR(INDEX(Insumos!$C$6:$C$105,MATCH(D232,Insumos!$A$6:$A$105,0)),""))</f>
        <v/>
      </c>
      <c r="G232" s="9" t="str">
        <f aca="false">IF(D232="","",IFERROR(INDEX(Insumos!$D$6:$D$105,MATCH(D232,Insumos!$A$6:$A$105,0)),""))</f>
        <v/>
      </c>
      <c r="H232" s="22"/>
      <c r="I232" s="23" t="str">
        <f aca="false">IF(D232="","",IFERROR(INDEX(Insumos!$E$6:$E$105,MATCH(D232,Insumos!$A$6:$A$105,0)),0))</f>
        <v/>
      </c>
      <c r="J232" s="23" t="str">
        <f aca="false">IF(OR(D232="",H232=""),"",H232*I232)</f>
        <v/>
      </c>
    </row>
    <row r="233" customFormat="false" ht="15" hidden="false" customHeight="false" outlineLevel="0" collapsed="false">
      <c r="A233" s="17"/>
      <c r="B233" s="17"/>
      <c r="C233" s="17"/>
      <c r="D233" s="17"/>
      <c r="E233" s="9" t="str">
        <f aca="false">IF(D233="","",IFERROR(INDEX(Insumos!$B$6:$B$105,MATCH(D233,Insumos!$A$6:$A$105,0)),"No existe"))</f>
        <v/>
      </c>
      <c r="F233" s="9" t="str">
        <f aca="false">IF(D233="","",IFERROR(INDEX(Insumos!$C$6:$C$105,MATCH(D233,Insumos!$A$6:$A$105,0)),""))</f>
        <v/>
      </c>
      <c r="G233" s="9" t="str">
        <f aca="false">IF(D233="","",IFERROR(INDEX(Insumos!$D$6:$D$105,MATCH(D233,Insumos!$A$6:$A$105,0)),""))</f>
        <v/>
      </c>
      <c r="H233" s="22"/>
      <c r="I233" s="23" t="str">
        <f aca="false">IF(D233="","",IFERROR(INDEX(Insumos!$E$6:$E$105,MATCH(D233,Insumos!$A$6:$A$105,0)),0))</f>
        <v/>
      </c>
      <c r="J233" s="23" t="str">
        <f aca="false">IF(OR(D233="",H233=""),"",H233*I233)</f>
        <v/>
      </c>
    </row>
    <row r="234" customFormat="false" ht="15" hidden="false" customHeight="false" outlineLevel="0" collapsed="false">
      <c r="A234" s="17"/>
      <c r="B234" s="17"/>
      <c r="C234" s="17"/>
      <c r="D234" s="17"/>
      <c r="E234" s="9" t="str">
        <f aca="false">IF(D234="","",IFERROR(INDEX(Insumos!$B$6:$B$105,MATCH(D234,Insumos!$A$6:$A$105,0)),"No existe"))</f>
        <v/>
      </c>
      <c r="F234" s="9" t="str">
        <f aca="false">IF(D234="","",IFERROR(INDEX(Insumos!$C$6:$C$105,MATCH(D234,Insumos!$A$6:$A$105,0)),""))</f>
        <v/>
      </c>
      <c r="G234" s="9" t="str">
        <f aca="false">IF(D234="","",IFERROR(INDEX(Insumos!$D$6:$D$105,MATCH(D234,Insumos!$A$6:$A$105,0)),""))</f>
        <v/>
      </c>
      <c r="H234" s="22"/>
      <c r="I234" s="23" t="str">
        <f aca="false">IF(D234="","",IFERROR(INDEX(Insumos!$E$6:$E$105,MATCH(D234,Insumos!$A$6:$A$105,0)),0))</f>
        <v/>
      </c>
      <c r="J234" s="23" t="str">
        <f aca="false">IF(OR(D234="",H234=""),"",H234*I234)</f>
        <v/>
      </c>
    </row>
    <row r="235" customFormat="false" ht="15" hidden="false" customHeight="false" outlineLevel="0" collapsed="false">
      <c r="A235" s="17"/>
      <c r="B235" s="17"/>
      <c r="C235" s="17"/>
      <c r="D235" s="17"/>
      <c r="E235" s="9" t="str">
        <f aca="false">IF(D235="","",IFERROR(INDEX(Insumos!$B$6:$B$105,MATCH(D235,Insumos!$A$6:$A$105,0)),"No existe"))</f>
        <v/>
      </c>
      <c r="F235" s="9" t="str">
        <f aca="false">IF(D235="","",IFERROR(INDEX(Insumos!$C$6:$C$105,MATCH(D235,Insumos!$A$6:$A$105,0)),""))</f>
        <v/>
      </c>
      <c r="G235" s="9" t="str">
        <f aca="false">IF(D235="","",IFERROR(INDEX(Insumos!$D$6:$D$105,MATCH(D235,Insumos!$A$6:$A$105,0)),""))</f>
        <v/>
      </c>
      <c r="H235" s="22"/>
      <c r="I235" s="23" t="str">
        <f aca="false">IF(D235="","",IFERROR(INDEX(Insumos!$E$6:$E$105,MATCH(D235,Insumos!$A$6:$A$105,0)),0))</f>
        <v/>
      </c>
      <c r="J235" s="23" t="str">
        <f aca="false">IF(OR(D235="",H235=""),"",H235*I235)</f>
        <v/>
      </c>
    </row>
    <row r="236" customFormat="false" ht="15" hidden="false" customHeight="false" outlineLevel="0" collapsed="false">
      <c r="A236" s="17"/>
      <c r="B236" s="17"/>
      <c r="C236" s="17"/>
      <c r="D236" s="17"/>
      <c r="E236" s="9" t="str">
        <f aca="false">IF(D236="","",IFERROR(INDEX(Insumos!$B$6:$B$105,MATCH(D236,Insumos!$A$6:$A$105,0)),"No existe"))</f>
        <v/>
      </c>
      <c r="F236" s="9" t="str">
        <f aca="false">IF(D236="","",IFERROR(INDEX(Insumos!$C$6:$C$105,MATCH(D236,Insumos!$A$6:$A$105,0)),""))</f>
        <v/>
      </c>
      <c r="G236" s="9" t="str">
        <f aca="false">IF(D236="","",IFERROR(INDEX(Insumos!$D$6:$D$105,MATCH(D236,Insumos!$A$6:$A$105,0)),""))</f>
        <v/>
      </c>
      <c r="H236" s="22"/>
      <c r="I236" s="23" t="str">
        <f aca="false">IF(D236="","",IFERROR(INDEX(Insumos!$E$6:$E$105,MATCH(D236,Insumos!$A$6:$A$105,0)),0))</f>
        <v/>
      </c>
      <c r="J236" s="23" t="str">
        <f aca="false">IF(OR(D236="",H236=""),"",H236*I236)</f>
        <v/>
      </c>
    </row>
    <row r="237" customFormat="false" ht="15" hidden="false" customHeight="false" outlineLevel="0" collapsed="false">
      <c r="A237" s="17"/>
      <c r="B237" s="17"/>
      <c r="C237" s="17"/>
      <c r="D237" s="17"/>
      <c r="E237" s="9" t="str">
        <f aca="false">IF(D237="","",IFERROR(INDEX(Insumos!$B$6:$B$105,MATCH(D237,Insumos!$A$6:$A$105,0)),"No existe"))</f>
        <v/>
      </c>
      <c r="F237" s="9" t="str">
        <f aca="false">IF(D237="","",IFERROR(INDEX(Insumos!$C$6:$C$105,MATCH(D237,Insumos!$A$6:$A$105,0)),""))</f>
        <v/>
      </c>
      <c r="G237" s="9" t="str">
        <f aca="false">IF(D237="","",IFERROR(INDEX(Insumos!$D$6:$D$105,MATCH(D237,Insumos!$A$6:$A$105,0)),""))</f>
        <v/>
      </c>
      <c r="H237" s="22"/>
      <c r="I237" s="23" t="str">
        <f aca="false">IF(D237="","",IFERROR(INDEX(Insumos!$E$6:$E$105,MATCH(D237,Insumos!$A$6:$A$105,0)),0))</f>
        <v/>
      </c>
      <c r="J237" s="23" t="str">
        <f aca="false">IF(OR(D237="",H237=""),"",H237*I237)</f>
        <v/>
      </c>
    </row>
    <row r="238" customFormat="false" ht="15" hidden="false" customHeight="false" outlineLevel="0" collapsed="false">
      <c r="A238" s="17"/>
      <c r="B238" s="17"/>
      <c r="C238" s="17"/>
      <c r="D238" s="17"/>
      <c r="E238" s="9" t="str">
        <f aca="false">IF(D238="","",IFERROR(INDEX(Insumos!$B$6:$B$105,MATCH(D238,Insumos!$A$6:$A$105,0)),"No existe"))</f>
        <v/>
      </c>
      <c r="F238" s="9" t="str">
        <f aca="false">IF(D238="","",IFERROR(INDEX(Insumos!$C$6:$C$105,MATCH(D238,Insumos!$A$6:$A$105,0)),""))</f>
        <v/>
      </c>
      <c r="G238" s="9" t="str">
        <f aca="false">IF(D238="","",IFERROR(INDEX(Insumos!$D$6:$D$105,MATCH(D238,Insumos!$A$6:$A$105,0)),""))</f>
        <v/>
      </c>
      <c r="H238" s="22"/>
      <c r="I238" s="23" t="str">
        <f aca="false">IF(D238="","",IFERROR(INDEX(Insumos!$E$6:$E$105,MATCH(D238,Insumos!$A$6:$A$105,0)),0))</f>
        <v/>
      </c>
      <c r="J238" s="23" t="str">
        <f aca="false">IF(OR(D238="",H238=""),"",H238*I238)</f>
        <v/>
      </c>
    </row>
    <row r="239" customFormat="false" ht="15" hidden="false" customHeight="false" outlineLevel="0" collapsed="false">
      <c r="A239" s="17"/>
      <c r="B239" s="17"/>
      <c r="C239" s="17"/>
      <c r="D239" s="17"/>
      <c r="E239" s="9" t="str">
        <f aca="false">IF(D239="","",IFERROR(INDEX(Insumos!$B$6:$B$105,MATCH(D239,Insumos!$A$6:$A$105,0)),"No existe"))</f>
        <v/>
      </c>
      <c r="F239" s="9" t="str">
        <f aca="false">IF(D239="","",IFERROR(INDEX(Insumos!$C$6:$C$105,MATCH(D239,Insumos!$A$6:$A$105,0)),""))</f>
        <v/>
      </c>
      <c r="G239" s="9" t="str">
        <f aca="false">IF(D239="","",IFERROR(INDEX(Insumos!$D$6:$D$105,MATCH(D239,Insumos!$A$6:$A$105,0)),""))</f>
        <v/>
      </c>
      <c r="H239" s="22"/>
      <c r="I239" s="23" t="str">
        <f aca="false">IF(D239="","",IFERROR(INDEX(Insumos!$E$6:$E$105,MATCH(D239,Insumos!$A$6:$A$105,0)),0))</f>
        <v/>
      </c>
      <c r="J239" s="23" t="str">
        <f aca="false">IF(OR(D239="",H239=""),"",H239*I239)</f>
        <v/>
      </c>
    </row>
    <row r="240" customFormat="false" ht="15" hidden="false" customHeight="false" outlineLevel="0" collapsed="false">
      <c r="A240" s="17"/>
      <c r="B240" s="17"/>
      <c r="C240" s="17"/>
      <c r="D240" s="17"/>
      <c r="E240" s="9" t="str">
        <f aca="false">IF(D240="","",IFERROR(INDEX(Insumos!$B$6:$B$105,MATCH(D240,Insumos!$A$6:$A$105,0)),"No existe"))</f>
        <v/>
      </c>
      <c r="F240" s="9" t="str">
        <f aca="false">IF(D240="","",IFERROR(INDEX(Insumos!$C$6:$C$105,MATCH(D240,Insumos!$A$6:$A$105,0)),""))</f>
        <v/>
      </c>
      <c r="G240" s="9" t="str">
        <f aca="false">IF(D240="","",IFERROR(INDEX(Insumos!$D$6:$D$105,MATCH(D240,Insumos!$A$6:$A$105,0)),""))</f>
        <v/>
      </c>
      <c r="H240" s="22"/>
      <c r="I240" s="23" t="str">
        <f aca="false">IF(D240="","",IFERROR(INDEX(Insumos!$E$6:$E$105,MATCH(D240,Insumos!$A$6:$A$105,0)),0))</f>
        <v/>
      </c>
      <c r="J240" s="23" t="str">
        <f aca="false">IF(OR(D240="",H240=""),"",H240*I240)</f>
        <v/>
      </c>
    </row>
    <row r="241" customFormat="false" ht="15" hidden="false" customHeight="false" outlineLevel="0" collapsed="false">
      <c r="A241" s="17"/>
      <c r="B241" s="17"/>
      <c r="C241" s="17"/>
      <c r="D241" s="17"/>
      <c r="E241" s="9" t="str">
        <f aca="false">IF(D241="","",IFERROR(INDEX(Insumos!$B$6:$B$105,MATCH(D241,Insumos!$A$6:$A$105,0)),"No existe"))</f>
        <v/>
      </c>
      <c r="F241" s="9" t="str">
        <f aca="false">IF(D241="","",IFERROR(INDEX(Insumos!$C$6:$C$105,MATCH(D241,Insumos!$A$6:$A$105,0)),""))</f>
        <v/>
      </c>
      <c r="G241" s="9" t="str">
        <f aca="false">IF(D241="","",IFERROR(INDEX(Insumos!$D$6:$D$105,MATCH(D241,Insumos!$A$6:$A$105,0)),""))</f>
        <v/>
      </c>
      <c r="H241" s="22"/>
      <c r="I241" s="23" t="str">
        <f aca="false">IF(D241="","",IFERROR(INDEX(Insumos!$E$6:$E$105,MATCH(D241,Insumos!$A$6:$A$105,0)),0))</f>
        <v/>
      </c>
      <c r="J241" s="23" t="str">
        <f aca="false">IF(OR(D241="",H241=""),"",H241*I241)</f>
        <v/>
      </c>
    </row>
    <row r="242" customFormat="false" ht="15" hidden="false" customHeight="false" outlineLevel="0" collapsed="false">
      <c r="A242" s="17"/>
      <c r="B242" s="17"/>
      <c r="C242" s="17"/>
      <c r="D242" s="17"/>
      <c r="E242" s="9" t="str">
        <f aca="false">IF(D242="","",IFERROR(INDEX(Insumos!$B$6:$B$105,MATCH(D242,Insumos!$A$6:$A$105,0)),"No existe"))</f>
        <v/>
      </c>
      <c r="F242" s="9" t="str">
        <f aca="false">IF(D242="","",IFERROR(INDEX(Insumos!$C$6:$C$105,MATCH(D242,Insumos!$A$6:$A$105,0)),""))</f>
        <v/>
      </c>
      <c r="G242" s="9" t="str">
        <f aca="false">IF(D242="","",IFERROR(INDEX(Insumos!$D$6:$D$105,MATCH(D242,Insumos!$A$6:$A$105,0)),""))</f>
        <v/>
      </c>
      <c r="H242" s="22"/>
      <c r="I242" s="23" t="str">
        <f aca="false">IF(D242="","",IFERROR(INDEX(Insumos!$E$6:$E$105,MATCH(D242,Insumos!$A$6:$A$105,0)),0))</f>
        <v/>
      </c>
      <c r="J242" s="23" t="str">
        <f aca="false">IF(OR(D242="",H242=""),"",H242*I242)</f>
        <v/>
      </c>
    </row>
    <row r="243" customFormat="false" ht="15" hidden="false" customHeight="false" outlineLevel="0" collapsed="false">
      <c r="A243" s="17"/>
      <c r="B243" s="17"/>
      <c r="C243" s="17"/>
      <c r="D243" s="17"/>
      <c r="E243" s="9" t="str">
        <f aca="false">IF(D243="","",IFERROR(INDEX(Insumos!$B$6:$B$105,MATCH(D243,Insumos!$A$6:$A$105,0)),"No existe"))</f>
        <v/>
      </c>
      <c r="F243" s="9" t="str">
        <f aca="false">IF(D243="","",IFERROR(INDEX(Insumos!$C$6:$C$105,MATCH(D243,Insumos!$A$6:$A$105,0)),""))</f>
        <v/>
      </c>
      <c r="G243" s="9" t="str">
        <f aca="false">IF(D243="","",IFERROR(INDEX(Insumos!$D$6:$D$105,MATCH(D243,Insumos!$A$6:$A$105,0)),""))</f>
        <v/>
      </c>
      <c r="H243" s="22"/>
      <c r="I243" s="23" t="str">
        <f aca="false">IF(D243="","",IFERROR(INDEX(Insumos!$E$6:$E$105,MATCH(D243,Insumos!$A$6:$A$105,0)),0))</f>
        <v/>
      </c>
      <c r="J243" s="23" t="str">
        <f aca="false">IF(OR(D243="",H243=""),"",H243*I243)</f>
        <v/>
      </c>
    </row>
    <row r="244" customFormat="false" ht="15" hidden="false" customHeight="false" outlineLevel="0" collapsed="false">
      <c r="A244" s="17"/>
      <c r="B244" s="17"/>
      <c r="C244" s="17"/>
      <c r="D244" s="17"/>
      <c r="E244" s="9" t="str">
        <f aca="false">IF(D244="","",IFERROR(INDEX(Insumos!$B$6:$B$105,MATCH(D244,Insumos!$A$6:$A$105,0)),"No existe"))</f>
        <v/>
      </c>
      <c r="F244" s="9" t="str">
        <f aca="false">IF(D244="","",IFERROR(INDEX(Insumos!$C$6:$C$105,MATCH(D244,Insumos!$A$6:$A$105,0)),""))</f>
        <v/>
      </c>
      <c r="G244" s="9" t="str">
        <f aca="false">IF(D244="","",IFERROR(INDEX(Insumos!$D$6:$D$105,MATCH(D244,Insumos!$A$6:$A$105,0)),""))</f>
        <v/>
      </c>
      <c r="H244" s="22"/>
      <c r="I244" s="23" t="str">
        <f aca="false">IF(D244="","",IFERROR(INDEX(Insumos!$E$6:$E$105,MATCH(D244,Insumos!$A$6:$A$105,0)),0))</f>
        <v/>
      </c>
      <c r="J244" s="23" t="str">
        <f aca="false">IF(OR(D244="",H244=""),"",H244*I244)</f>
        <v/>
      </c>
    </row>
    <row r="245" customFormat="false" ht="15" hidden="false" customHeight="false" outlineLevel="0" collapsed="false">
      <c r="A245" s="17"/>
      <c r="B245" s="17"/>
      <c r="C245" s="17"/>
      <c r="D245" s="17"/>
      <c r="E245" s="9" t="str">
        <f aca="false">IF(D245="","",IFERROR(INDEX(Insumos!$B$6:$B$105,MATCH(D245,Insumos!$A$6:$A$105,0)),"No existe"))</f>
        <v/>
      </c>
      <c r="F245" s="9" t="str">
        <f aca="false">IF(D245="","",IFERROR(INDEX(Insumos!$C$6:$C$105,MATCH(D245,Insumos!$A$6:$A$105,0)),""))</f>
        <v/>
      </c>
      <c r="G245" s="9" t="str">
        <f aca="false">IF(D245="","",IFERROR(INDEX(Insumos!$D$6:$D$105,MATCH(D245,Insumos!$A$6:$A$105,0)),""))</f>
        <v/>
      </c>
      <c r="H245" s="22"/>
      <c r="I245" s="23" t="str">
        <f aca="false">IF(D245="","",IFERROR(INDEX(Insumos!$E$6:$E$105,MATCH(D245,Insumos!$A$6:$A$105,0)),0))</f>
        <v/>
      </c>
      <c r="J245" s="23" t="str">
        <f aca="false">IF(OR(D245="",H245=""),"",H245*I245)</f>
        <v/>
      </c>
    </row>
    <row r="246" customFormat="false" ht="15" hidden="false" customHeight="false" outlineLevel="0" collapsed="false">
      <c r="A246" s="17"/>
      <c r="B246" s="17"/>
      <c r="C246" s="17"/>
      <c r="D246" s="17"/>
      <c r="E246" s="9" t="str">
        <f aca="false">IF(D246="","",IFERROR(INDEX(Insumos!$B$6:$B$105,MATCH(D246,Insumos!$A$6:$A$105,0)),"No existe"))</f>
        <v/>
      </c>
      <c r="F246" s="9" t="str">
        <f aca="false">IF(D246="","",IFERROR(INDEX(Insumos!$C$6:$C$105,MATCH(D246,Insumos!$A$6:$A$105,0)),""))</f>
        <v/>
      </c>
      <c r="G246" s="9" t="str">
        <f aca="false">IF(D246="","",IFERROR(INDEX(Insumos!$D$6:$D$105,MATCH(D246,Insumos!$A$6:$A$105,0)),""))</f>
        <v/>
      </c>
      <c r="H246" s="22"/>
      <c r="I246" s="23" t="str">
        <f aca="false">IF(D246="","",IFERROR(INDEX(Insumos!$E$6:$E$105,MATCH(D246,Insumos!$A$6:$A$105,0)),0))</f>
        <v/>
      </c>
      <c r="J246" s="23" t="str">
        <f aca="false">IF(OR(D246="",H246=""),"",H246*I246)</f>
        <v/>
      </c>
    </row>
    <row r="247" customFormat="false" ht="15" hidden="false" customHeight="false" outlineLevel="0" collapsed="false">
      <c r="A247" s="17"/>
      <c r="B247" s="17"/>
      <c r="C247" s="17"/>
      <c r="D247" s="17"/>
      <c r="E247" s="9" t="str">
        <f aca="false">IF(D247="","",IFERROR(INDEX(Insumos!$B$6:$B$105,MATCH(D247,Insumos!$A$6:$A$105,0)),"No existe"))</f>
        <v/>
      </c>
      <c r="F247" s="9" t="str">
        <f aca="false">IF(D247="","",IFERROR(INDEX(Insumos!$C$6:$C$105,MATCH(D247,Insumos!$A$6:$A$105,0)),""))</f>
        <v/>
      </c>
      <c r="G247" s="9" t="str">
        <f aca="false">IF(D247="","",IFERROR(INDEX(Insumos!$D$6:$D$105,MATCH(D247,Insumos!$A$6:$A$105,0)),""))</f>
        <v/>
      </c>
      <c r="H247" s="22"/>
      <c r="I247" s="23" t="str">
        <f aca="false">IF(D247="","",IFERROR(INDEX(Insumos!$E$6:$E$105,MATCH(D247,Insumos!$A$6:$A$105,0)),0))</f>
        <v/>
      </c>
      <c r="J247" s="23" t="str">
        <f aca="false">IF(OR(D247="",H247=""),"",H247*I247)</f>
        <v/>
      </c>
    </row>
    <row r="248" customFormat="false" ht="15" hidden="false" customHeight="false" outlineLevel="0" collapsed="false">
      <c r="A248" s="17"/>
      <c r="B248" s="17"/>
      <c r="C248" s="17"/>
      <c r="D248" s="17"/>
      <c r="E248" s="9" t="str">
        <f aca="false">IF(D248="","",IFERROR(INDEX(Insumos!$B$6:$B$105,MATCH(D248,Insumos!$A$6:$A$105,0)),"No existe"))</f>
        <v/>
      </c>
      <c r="F248" s="9" t="str">
        <f aca="false">IF(D248="","",IFERROR(INDEX(Insumos!$C$6:$C$105,MATCH(D248,Insumos!$A$6:$A$105,0)),""))</f>
        <v/>
      </c>
      <c r="G248" s="9" t="str">
        <f aca="false">IF(D248="","",IFERROR(INDEX(Insumos!$D$6:$D$105,MATCH(D248,Insumos!$A$6:$A$105,0)),""))</f>
        <v/>
      </c>
      <c r="H248" s="22"/>
      <c r="I248" s="23" t="str">
        <f aca="false">IF(D248="","",IFERROR(INDEX(Insumos!$E$6:$E$105,MATCH(D248,Insumos!$A$6:$A$105,0)),0))</f>
        <v/>
      </c>
      <c r="J248" s="23" t="str">
        <f aca="false">IF(OR(D248="",H248=""),"",H248*I248)</f>
        <v/>
      </c>
    </row>
    <row r="249" customFormat="false" ht="15" hidden="false" customHeight="false" outlineLevel="0" collapsed="false">
      <c r="A249" s="17"/>
      <c r="B249" s="17"/>
      <c r="C249" s="17"/>
      <c r="D249" s="17"/>
      <c r="E249" s="9" t="str">
        <f aca="false">IF(D249="","",IFERROR(INDEX(Insumos!$B$6:$B$105,MATCH(D249,Insumos!$A$6:$A$105,0)),"No existe"))</f>
        <v/>
      </c>
      <c r="F249" s="9" t="str">
        <f aca="false">IF(D249="","",IFERROR(INDEX(Insumos!$C$6:$C$105,MATCH(D249,Insumos!$A$6:$A$105,0)),""))</f>
        <v/>
      </c>
      <c r="G249" s="9" t="str">
        <f aca="false">IF(D249="","",IFERROR(INDEX(Insumos!$D$6:$D$105,MATCH(D249,Insumos!$A$6:$A$105,0)),""))</f>
        <v/>
      </c>
      <c r="H249" s="22"/>
      <c r="I249" s="23" t="str">
        <f aca="false">IF(D249="","",IFERROR(INDEX(Insumos!$E$6:$E$105,MATCH(D249,Insumos!$A$6:$A$105,0)),0))</f>
        <v/>
      </c>
      <c r="J249" s="23" t="str">
        <f aca="false">IF(OR(D249="",H249=""),"",H249*I249)</f>
        <v/>
      </c>
    </row>
    <row r="250" customFormat="false" ht="15" hidden="false" customHeight="false" outlineLevel="0" collapsed="false">
      <c r="A250" s="17"/>
      <c r="B250" s="17"/>
      <c r="C250" s="17"/>
      <c r="D250" s="17"/>
      <c r="E250" s="9" t="str">
        <f aca="false">IF(D250="","",IFERROR(INDEX(Insumos!$B$6:$B$105,MATCH(D250,Insumos!$A$6:$A$105,0)),"No existe"))</f>
        <v/>
      </c>
      <c r="F250" s="9" t="str">
        <f aca="false">IF(D250="","",IFERROR(INDEX(Insumos!$C$6:$C$105,MATCH(D250,Insumos!$A$6:$A$105,0)),""))</f>
        <v/>
      </c>
      <c r="G250" s="9" t="str">
        <f aca="false">IF(D250="","",IFERROR(INDEX(Insumos!$D$6:$D$105,MATCH(D250,Insumos!$A$6:$A$105,0)),""))</f>
        <v/>
      </c>
      <c r="H250" s="22"/>
      <c r="I250" s="23" t="str">
        <f aca="false">IF(D250="","",IFERROR(INDEX(Insumos!$E$6:$E$105,MATCH(D250,Insumos!$A$6:$A$105,0)),0))</f>
        <v/>
      </c>
      <c r="J250" s="23" t="str">
        <f aca="false">IF(OR(D250="",H250=""),"",H250*I250)</f>
        <v/>
      </c>
    </row>
    <row r="251" customFormat="false" ht="15" hidden="false" customHeight="false" outlineLevel="0" collapsed="false">
      <c r="A251" s="17"/>
      <c r="B251" s="17"/>
      <c r="C251" s="17"/>
      <c r="D251" s="17"/>
      <c r="E251" s="9" t="str">
        <f aca="false">IF(D251="","",IFERROR(INDEX(Insumos!$B$6:$B$105,MATCH(D251,Insumos!$A$6:$A$105,0)),"No existe"))</f>
        <v/>
      </c>
      <c r="F251" s="9" t="str">
        <f aca="false">IF(D251="","",IFERROR(INDEX(Insumos!$C$6:$C$105,MATCH(D251,Insumos!$A$6:$A$105,0)),""))</f>
        <v/>
      </c>
      <c r="G251" s="9" t="str">
        <f aca="false">IF(D251="","",IFERROR(INDEX(Insumos!$D$6:$D$105,MATCH(D251,Insumos!$A$6:$A$105,0)),""))</f>
        <v/>
      </c>
      <c r="H251" s="22"/>
      <c r="I251" s="23" t="str">
        <f aca="false">IF(D251="","",IFERROR(INDEX(Insumos!$E$6:$E$105,MATCH(D251,Insumos!$A$6:$A$105,0)),0))</f>
        <v/>
      </c>
      <c r="J251" s="23" t="str">
        <f aca="false">IF(OR(D251="",H251=""),"",H251*I251)</f>
        <v/>
      </c>
    </row>
    <row r="252" customFormat="false" ht="15" hidden="false" customHeight="false" outlineLevel="0" collapsed="false">
      <c r="A252" s="17"/>
      <c r="B252" s="17"/>
      <c r="C252" s="17"/>
      <c r="D252" s="17"/>
      <c r="E252" s="9" t="str">
        <f aca="false">IF(D252="","",IFERROR(INDEX(Insumos!$B$6:$B$105,MATCH(D252,Insumos!$A$6:$A$105,0)),"No existe"))</f>
        <v/>
      </c>
      <c r="F252" s="9" t="str">
        <f aca="false">IF(D252="","",IFERROR(INDEX(Insumos!$C$6:$C$105,MATCH(D252,Insumos!$A$6:$A$105,0)),""))</f>
        <v/>
      </c>
      <c r="G252" s="9" t="str">
        <f aca="false">IF(D252="","",IFERROR(INDEX(Insumos!$D$6:$D$105,MATCH(D252,Insumos!$A$6:$A$105,0)),""))</f>
        <v/>
      </c>
      <c r="H252" s="22"/>
      <c r="I252" s="23" t="str">
        <f aca="false">IF(D252="","",IFERROR(INDEX(Insumos!$E$6:$E$105,MATCH(D252,Insumos!$A$6:$A$105,0)),0))</f>
        <v/>
      </c>
      <c r="J252" s="23" t="str">
        <f aca="false">IF(OR(D252="",H252=""),"",H252*I252)</f>
        <v/>
      </c>
    </row>
    <row r="253" customFormat="false" ht="15" hidden="false" customHeight="false" outlineLevel="0" collapsed="false">
      <c r="A253" s="17"/>
      <c r="B253" s="17"/>
      <c r="C253" s="17"/>
      <c r="D253" s="17"/>
      <c r="E253" s="9" t="str">
        <f aca="false">IF(D253="","",IFERROR(INDEX(Insumos!$B$6:$B$105,MATCH(D253,Insumos!$A$6:$A$105,0)),"No existe"))</f>
        <v/>
      </c>
      <c r="F253" s="9" t="str">
        <f aca="false">IF(D253="","",IFERROR(INDEX(Insumos!$C$6:$C$105,MATCH(D253,Insumos!$A$6:$A$105,0)),""))</f>
        <v/>
      </c>
      <c r="G253" s="9" t="str">
        <f aca="false">IF(D253="","",IFERROR(INDEX(Insumos!$D$6:$D$105,MATCH(D253,Insumos!$A$6:$A$105,0)),""))</f>
        <v/>
      </c>
      <c r="H253" s="22"/>
      <c r="I253" s="23" t="str">
        <f aca="false">IF(D253="","",IFERROR(INDEX(Insumos!$E$6:$E$105,MATCH(D253,Insumos!$A$6:$A$105,0)),0))</f>
        <v/>
      </c>
      <c r="J253" s="23" t="str">
        <f aca="false">IF(OR(D253="",H253=""),"",H253*I253)</f>
        <v/>
      </c>
    </row>
    <row r="254" customFormat="false" ht="15" hidden="false" customHeight="false" outlineLevel="0" collapsed="false">
      <c r="A254" s="17"/>
      <c r="B254" s="17"/>
      <c r="C254" s="17"/>
      <c r="D254" s="17"/>
      <c r="E254" s="9" t="str">
        <f aca="false">IF(D254="","",IFERROR(INDEX(Insumos!$B$6:$B$105,MATCH(D254,Insumos!$A$6:$A$105,0)),"No existe"))</f>
        <v/>
      </c>
      <c r="F254" s="9" t="str">
        <f aca="false">IF(D254="","",IFERROR(INDEX(Insumos!$C$6:$C$105,MATCH(D254,Insumos!$A$6:$A$105,0)),""))</f>
        <v/>
      </c>
      <c r="G254" s="9" t="str">
        <f aca="false">IF(D254="","",IFERROR(INDEX(Insumos!$D$6:$D$105,MATCH(D254,Insumos!$A$6:$A$105,0)),""))</f>
        <v/>
      </c>
      <c r="H254" s="22"/>
      <c r="I254" s="23" t="str">
        <f aca="false">IF(D254="","",IFERROR(INDEX(Insumos!$E$6:$E$105,MATCH(D254,Insumos!$A$6:$A$105,0)),0))</f>
        <v/>
      </c>
      <c r="J254" s="23" t="str">
        <f aca="false">IF(OR(D254="",H254=""),"",H254*I254)</f>
        <v/>
      </c>
    </row>
    <row r="255" customFormat="false" ht="15" hidden="false" customHeight="false" outlineLevel="0" collapsed="false">
      <c r="A255" s="17"/>
      <c r="B255" s="17"/>
      <c r="C255" s="17"/>
      <c r="D255" s="17"/>
      <c r="E255" s="9" t="str">
        <f aca="false">IF(D255="","",IFERROR(INDEX(Insumos!$B$6:$B$105,MATCH(D255,Insumos!$A$6:$A$105,0)),"No existe"))</f>
        <v/>
      </c>
      <c r="F255" s="9" t="str">
        <f aca="false">IF(D255="","",IFERROR(INDEX(Insumos!$C$6:$C$105,MATCH(D255,Insumos!$A$6:$A$105,0)),""))</f>
        <v/>
      </c>
      <c r="G255" s="9" t="str">
        <f aca="false">IF(D255="","",IFERROR(INDEX(Insumos!$D$6:$D$105,MATCH(D255,Insumos!$A$6:$A$105,0)),""))</f>
        <v/>
      </c>
      <c r="H255" s="22"/>
      <c r="I255" s="23" t="str">
        <f aca="false">IF(D255="","",IFERROR(INDEX(Insumos!$E$6:$E$105,MATCH(D255,Insumos!$A$6:$A$105,0)),0))</f>
        <v/>
      </c>
      <c r="J255" s="23" t="str">
        <f aca="false">IF(OR(D255="",H255=""),"",H255*I255)</f>
        <v/>
      </c>
    </row>
    <row r="256" customFormat="false" ht="15" hidden="false" customHeight="false" outlineLevel="0" collapsed="false">
      <c r="A256" s="17"/>
      <c r="B256" s="17"/>
      <c r="C256" s="17"/>
      <c r="D256" s="17"/>
      <c r="E256" s="9" t="str">
        <f aca="false">IF(D256="","",IFERROR(INDEX(Insumos!$B$6:$B$105,MATCH(D256,Insumos!$A$6:$A$105,0)),"No existe"))</f>
        <v/>
      </c>
      <c r="F256" s="9" t="str">
        <f aca="false">IF(D256="","",IFERROR(INDEX(Insumos!$C$6:$C$105,MATCH(D256,Insumos!$A$6:$A$105,0)),""))</f>
        <v/>
      </c>
      <c r="G256" s="9" t="str">
        <f aca="false">IF(D256="","",IFERROR(INDEX(Insumos!$D$6:$D$105,MATCH(D256,Insumos!$A$6:$A$105,0)),""))</f>
        <v/>
      </c>
      <c r="H256" s="22"/>
      <c r="I256" s="23" t="str">
        <f aca="false">IF(D256="","",IFERROR(INDEX(Insumos!$E$6:$E$105,MATCH(D256,Insumos!$A$6:$A$105,0)),0))</f>
        <v/>
      </c>
      <c r="J256" s="23" t="str">
        <f aca="false">IF(OR(D256="",H256=""),"",H256*I256)</f>
        <v/>
      </c>
    </row>
    <row r="257" customFormat="false" ht="15" hidden="false" customHeight="false" outlineLevel="0" collapsed="false">
      <c r="A257" s="17"/>
      <c r="B257" s="17"/>
      <c r="C257" s="17"/>
      <c r="D257" s="17"/>
      <c r="E257" s="9" t="str">
        <f aca="false">IF(D257="","",IFERROR(INDEX(Insumos!$B$6:$B$105,MATCH(D257,Insumos!$A$6:$A$105,0)),"No existe"))</f>
        <v/>
      </c>
      <c r="F257" s="9" t="str">
        <f aca="false">IF(D257="","",IFERROR(INDEX(Insumos!$C$6:$C$105,MATCH(D257,Insumos!$A$6:$A$105,0)),""))</f>
        <v/>
      </c>
      <c r="G257" s="9" t="str">
        <f aca="false">IF(D257="","",IFERROR(INDEX(Insumos!$D$6:$D$105,MATCH(D257,Insumos!$A$6:$A$105,0)),""))</f>
        <v/>
      </c>
      <c r="H257" s="22"/>
      <c r="I257" s="23" t="str">
        <f aca="false">IF(D257="","",IFERROR(INDEX(Insumos!$E$6:$E$105,MATCH(D257,Insumos!$A$6:$A$105,0)),0))</f>
        <v/>
      </c>
      <c r="J257" s="23" t="str">
        <f aca="false">IF(OR(D257="",H257=""),"",H257*I257)</f>
        <v/>
      </c>
    </row>
    <row r="258" customFormat="false" ht="15" hidden="false" customHeight="false" outlineLevel="0" collapsed="false">
      <c r="A258" s="17"/>
      <c r="B258" s="17"/>
      <c r="C258" s="17"/>
      <c r="D258" s="17"/>
      <c r="E258" s="9" t="str">
        <f aca="false">IF(D258="","",IFERROR(INDEX(Insumos!$B$6:$B$105,MATCH(D258,Insumos!$A$6:$A$105,0)),"No existe"))</f>
        <v/>
      </c>
      <c r="F258" s="9" t="str">
        <f aca="false">IF(D258="","",IFERROR(INDEX(Insumos!$C$6:$C$105,MATCH(D258,Insumos!$A$6:$A$105,0)),""))</f>
        <v/>
      </c>
      <c r="G258" s="9" t="str">
        <f aca="false">IF(D258="","",IFERROR(INDEX(Insumos!$D$6:$D$105,MATCH(D258,Insumos!$A$6:$A$105,0)),""))</f>
        <v/>
      </c>
      <c r="H258" s="22"/>
      <c r="I258" s="23" t="str">
        <f aca="false">IF(D258="","",IFERROR(INDEX(Insumos!$E$6:$E$105,MATCH(D258,Insumos!$A$6:$A$105,0)),0))</f>
        <v/>
      </c>
      <c r="J258" s="23" t="str">
        <f aca="false">IF(OR(D258="",H258=""),"",H258*I258)</f>
        <v/>
      </c>
    </row>
    <row r="259" customFormat="false" ht="15" hidden="false" customHeight="false" outlineLevel="0" collapsed="false">
      <c r="A259" s="17"/>
      <c r="B259" s="17"/>
      <c r="C259" s="17"/>
      <c r="D259" s="17"/>
      <c r="E259" s="9" t="str">
        <f aca="false">IF(D259="","",IFERROR(INDEX(Insumos!$B$6:$B$105,MATCH(D259,Insumos!$A$6:$A$105,0)),"No existe"))</f>
        <v/>
      </c>
      <c r="F259" s="9" t="str">
        <f aca="false">IF(D259="","",IFERROR(INDEX(Insumos!$C$6:$C$105,MATCH(D259,Insumos!$A$6:$A$105,0)),""))</f>
        <v/>
      </c>
      <c r="G259" s="9" t="str">
        <f aca="false">IF(D259="","",IFERROR(INDEX(Insumos!$D$6:$D$105,MATCH(D259,Insumos!$A$6:$A$105,0)),""))</f>
        <v/>
      </c>
      <c r="H259" s="22"/>
      <c r="I259" s="23" t="str">
        <f aca="false">IF(D259="","",IFERROR(INDEX(Insumos!$E$6:$E$105,MATCH(D259,Insumos!$A$6:$A$105,0)),0))</f>
        <v/>
      </c>
      <c r="J259" s="23" t="str">
        <f aca="false">IF(OR(D259="",H259=""),"",H259*I259)</f>
        <v/>
      </c>
    </row>
    <row r="260" customFormat="false" ht="15" hidden="false" customHeight="false" outlineLevel="0" collapsed="false">
      <c r="A260" s="17"/>
      <c r="B260" s="17"/>
      <c r="C260" s="17"/>
      <c r="D260" s="17"/>
      <c r="E260" s="9" t="str">
        <f aca="false">IF(D260="","",IFERROR(INDEX(Insumos!$B$6:$B$105,MATCH(D260,Insumos!$A$6:$A$105,0)),"No existe"))</f>
        <v/>
      </c>
      <c r="F260" s="9" t="str">
        <f aca="false">IF(D260="","",IFERROR(INDEX(Insumos!$C$6:$C$105,MATCH(D260,Insumos!$A$6:$A$105,0)),""))</f>
        <v/>
      </c>
      <c r="G260" s="9" t="str">
        <f aca="false">IF(D260="","",IFERROR(INDEX(Insumos!$D$6:$D$105,MATCH(D260,Insumos!$A$6:$A$105,0)),""))</f>
        <v/>
      </c>
      <c r="H260" s="22"/>
      <c r="I260" s="23" t="str">
        <f aca="false">IF(D260="","",IFERROR(INDEX(Insumos!$E$6:$E$105,MATCH(D260,Insumos!$A$6:$A$105,0)),0))</f>
        <v/>
      </c>
      <c r="J260" s="23" t="str">
        <f aca="false">IF(OR(D260="",H260=""),"",H260*I260)</f>
        <v/>
      </c>
    </row>
    <row r="261" customFormat="false" ht="15" hidden="false" customHeight="false" outlineLevel="0" collapsed="false">
      <c r="A261" s="17"/>
      <c r="B261" s="17"/>
      <c r="C261" s="17"/>
      <c r="D261" s="17"/>
      <c r="E261" s="9" t="str">
        <f aca="false">IF(D261="","",IFERROR(INDEX(Insumos!$B$6:$B$105,MATCH(D261,Insumos!$A$6:$A$105,0)),"No existe"))</f>
        <v/>
      </c>
      <c r="F261" s="9" t="str">
        <f aca="false">IF(D261="","",IFERROR(INDEX(Insumos!$C$6:$C$105,MATCH(D261,Insumos!$A$6:$A$105,0)),""))</f>
        <v/>
      </c>
      <c r="G261" s="9" t="str">
        <f aca="false">IF(D261="","",IFERROR(INDEX(Insumos!$D$6:$D$105,MATCH(D261,Insumos!$A$6:$A$105,0)),""))</f>
        <v/>
      </c>
      <c r="H261" s="22"/>
      <c r="I261" s="23" t="str">
        <f aca="false">IF(D261="","",IFERROR(INDEX(Insumos!$E$6:$E$105,MATCH(D261,Insumos!$A$6:$A$105,0)),0))</f>
        <v/>
      </c>
      <c r="J261" s="23" t="str">
        <f aca="false">IF(OR(D261="",H261=""),"",H261*I261)</f>
        <v/>
      </c>
    </row>
    <row r="262" customFormat="false" ht="15" hidden="false" customHeight="false" outlineLevel="0" collapsed="false">
      <c r="A262" s="17"/>
      <c r="B262" s="17"/>
      <c r="C262" s="17"/>
      <c r="D262" s="17"/>
      <c r="E262" s="9" t="str">
        <f aca="false">IF(D262="","",IFERROR(INDEX(Insumos!$B$6:$B$105,MATCH(D262,Insumos!$A$6:$A$105,0)),"No existe"))</f>
        <v/>
      </c>
      <c r="F262" s="9" t="str">
        <f aca="false">IF(D262="","",IFERROR(INDEX(Insumos!$C$6:$C$105,MATCH(D262,Insumos!$A$6:$A$105,0)),""))</f>
        <v/>
      </c>
      <c r="G262" s="9" t="str">
        <f aca="false">IF(D262="","",IFERROR(INDEX(Insumos!$D$6:$D$105,MATCH(D262,Insumos!$A$6:$A$105,0)),""))</f>
        <v/>
      </c>
      <c r="H262" s="22"/>
      <c r="I262" s="23" t="str">
        <f aca="false">IF(D262="","",IFERROR(INDEX(Insumos!$E$6:$E$105,MATCH(D262,Insumos!$A$6:$A$105,0)),0))</f>
        <v/>
      </c>
      <c r="J262" s="23" t="str">
        <f aca="false">IF(OR(D262="",H262=""),"",H262*I262)</f>
        <v/>
      </c>
    </row>
    <row r="263" customFormat="false" ht="15" hidden="false" customHeight="false" outlineLevel="0" collapsed="false">
      <c r="A263" s="17"/>
      <c r="B263" s="17"/>
      <c r="C263" s="17"/>
      <c r="D263" s="17"/>
      <c r="E263" s="9" t="str">
        <f aca="false">IF(D263="","",IFERROR(INDEX(Insumos!$B$6:$B$105,MATCH(D263,Insumos!$A$6:$A$105,0)),"No existe"))</f>
        <v/>
      </c>
      <c r="F263" s="9" t="str">
        <f aca="false">IF(D263="","",IFERROR(INDEX(Insumos!$C$6:$C$105,MATCH(D263,Insumos!$A$6:$A$105,0)),""))</f>
        <v/>
      </c>
      <c r="G263" s="9" t="str">
        <f aca="false">IF(D263="","",IFERROR(INDEX(Insumos!$D$6:$D$105,MATCH(D263,Insumos!$A$6:$A$105,0)),""))</f>
        <v/>
      </c>
      <c r="H263" s="22"/>
      <c r="I263" s="23" t="str">
        <f aca="false">IF(D263="","",IFERROR(INDEX(Insumos!$E$6:$E$105,MATCH(D263,Insumos!$A$6:$A$105,0)),0))</f>
        <v/>
      </c>
      <c r="J263" s="23" t="str">
        <f aca="false">IF(OR(D263="",H263=""),"",H263*I263)</f>
        <v/>
      </c>
    </row>
    <row r="264" customFormat="false" ht="15" hidden="false" customHeight="false" outlineLevel="0" collapsed="false">
      <c r="A264" s="17"/>
      <c r="B264" s="17"/>
      <c r="C264" s="17"/>
      <c r="D264" s="17"/>
      <c r="E264" s="9" t="str">
        <f aca="false">IF(D264="","",IFERROR(INDEX(Insumos!$B$6:$B$105,MATCH(D264,Insumos!$A$6:$A$105,0)),"No existe"))</f>
        <v/>
      </c>
      <c r="F264" s="9" t="str">
        <f aca="false">IF(D264="","",IFERROR(INDEX(Insumos!$C$6:$C$105,MATCH(D264,Insumos!$A$6:$A$105,0)),""))</f>
        <v/>
      </c>
      <c r="G264" s="9" t="str">
        <f aca="false">IF(D264="","",IFERROR(INDEX(Insumos!$D$6:$D$105,MATCH(D264,Insumos!$A$6:$A$105,0)),""))</f>
        <v/>
      </c>
      <c r="H264" s="22"/>
      <c r="I264" s="23" t="str">
        <f aca="false">IF(D264="","",IFERROR(INDEX(Insumos!$E$6:$E$105,MATCH(D264,Insumos!$A$6:$A$105,0)),0))</f>
        <v/>
      </c>
      <c r="J264" s="23" t="str">
        <f aca="false">IF(OR(D264="",H264=""),"",H264*I264)</f>
        <v/>
      </c>
    </row>
    <row r="265" customFormat="false" ht="15" hidden="false" customHeight="false" outlineLevel="0" collapsed="false">
      <c r="A265" s="17"/>
      <c r="B265" s="17"/>
      <c r="C265" s="17"/>
      <c r="D265" s="17"/>
      <c r="E265" s="9" t="str">
        <f aca="false">IF(D265="","",IFERROR(INDEX(Insumos!$B$6:$B$105,MATCH(D265,Insumos!$A$6:$A$105,0)),"No existe"))</f>
        <v/>
      </c>
      <c r="F265" s="9" t="str">
        <f aca="false">IF(D265="","",IFERROR(INDEX(Insumos!$C$6:$C$105,MATCH(D265,Insumos!$A$6:$A$105,0)),""))</f>
        <v/>
      </c>
      <c r="G265" s="9" t="str">
        <f aca="false">IF(D265="","",IFERROR(INDEX(Insumos!$D$6:$D$105,MATCH(D265,Insumos!$A$6:$A$105,0)),""))</f>
        <v/>
      </c>
      <c r="H265" s="22"/>
      <c r="I265" s="23" t="str">
        <f aca="false">IF(D265="","",IFERROR(INDEX(Insumos!$E$6:$E$105,MATCH(D265,Insumos!$A$6:$A$105,0)),0))</f>
        <v/>
      </c>
      <c r="J265" s="23" t="str">
        <f aca="false">IF(OR(D265="",H265=""),"",H265*I265)</f>
        <v/>
      </c>
    </row>
    <row r="266" customFormat="false" ht="15" hidden="false" customHeight="false" outlineLevel="0" collapsed="false">
      <c r="A266" s="17"/>
      <c r="B266" s="17"/>
      <c r="C266" s="17"/>
      <c r="D266" s="17"/>
      <c r="E266" s="9" t="str">
        <f aca="false">IF(D266="","",IFERROR(INDEX(Insumos!$B$6:$B$105,MATCH(D266,Insumos!$A$6:$A$105,0)),"No existe"))</f>
        <v/>
      </c>
      <c r="F266" s="9" t="str">
        <f aca="false">IF(D266="","",IFERROR(INDEX(Insumos!$C$6:$C$105,MATCH(D266,Insumos!$A$6:$A$105,0)),""))</f>
        <v/>
      </c>
      <c r="G266" s="9" t="str">
        <f aca="false">IF(D266="","",IFERROR(INDEX(Insumos!$D$6:$D$105,MATCH(D266,Insumos!$A$6:$A$105,0)),""))</f>
        <v/>
      </c>
      <c r="H266" s="22"/>
      <c r="I266" s="23" t="str">
        <f aca="false">IF(D266="","",IFERROR(INDEX(Insumos!$E$6:$E$105,MATCH(D266,Insumos!$A$6:$A$105,0)),0))</f>
        <v/>
      </c>
      <c r="J266" s="23" t="str">
        <f aca="false">IF(OR(D266="",H266=""),"",H266*I266)</f>
        <v/>
      </c>
    </row>
    <row r="267" customFormat="false" ht="15" hidden="false" customHeight="false" outlineLevel="0" collapsed="false">
      <c r="A267" s="17"/>
      <c r="B267" s="17"/>
      <c r="C267" s="17"/>
      <c r="D267" s="17"/>
      <c r="E267" s="9" t="str">
        <f aca="false">IF(D267="","",IFERROR(INDEX(Insumos!$B$6:$B$105,MATCH(D267,Insumos!$A$6:$A$105,0)),"No existe"))</f>
        <v/>
      </c>
      <c r="F267" s="9" t="str">
        <f aca="false">IF(D267="","",IFERROR(INDEX(Insumos!$C$6:$C$105,MATCH(D267,Insumos!$A$6:$A$105,0)),""))</f>
        <v/>
      </c>
      <c r="G267" s="9" t="str">
        <f aca="false">IF(D267="","",IFERROR(INDEX(Insumos!$D$6:$D$105,MATCH(D267,Insumos!$A$6:$A$105,0)),""))</f>
        <v/>
      </c>
      <c r="H267" s="22"/>
      <c r="I267" s="23" t="str">
        <f aca="false">IF(D267="","",IFERROR(INDEX(Insumos!$E$6:$E$105,MATCH(D267,Insumos!$A$6:$A$105,0)),0))</f>
        <v/>
      </c>
      <c r="J267" s="23" t="str">
        <f aca="false">IF(OR(D267="",H267=""),"",H267*I267)</f>
        <v/>
      </c>
    </row>
    <row r="268" customFormat="false" ht="15" hidden="false" customHeight="false" outlineLevel="0" collapsed="false">
      <c r="A268" s="17"/>
      <c r="B268" s="17"/>
      <c r="C268" s="17"/>
      <c r="D268" s="17"/>
      <c r="E268" s="9" t="str">
        <f aca="false">IF(D268="","",IFERROR(INDEX(Insumos!$B$6:$B$105,MATCH(D268,Insumos!$A$6:$A$105,0)),"No existe"))</f>
        <v/>
      </c>
      <c r="F268" s="9" t="str">
        <f aca="false">IF(D268="","",IFERROR(INDEX(Insumos!$C$6:$C$105,MATCH(D268,Insumos!$A$6:$A$105,0)),""))</f>
        <v/>
      </c>
      <c r="G268" s="9" t="str">
        <f aca="false">IF(D268="","",IFERROR(INDEX(Insumos!$D$6:$D$105,MATCH(D268,Insumos!$A$6:$A$105,0)),""))</f>
        <v/>
      </c>
      <c r="H268" s="22"/>
      <c r="I268" s="23" t="str">
        <f aca="false">IF(D268="","",IFERROR(INDEX(Insumos!$E$6:$E$105,MATCH(D268,Insumos!$A$6:$A$105,0)),0))</f>
        <v/>
      </c>
      <c r="J268" s="23" t="str">
        <f aca="false">IF(OR(D268="",H268=""),"",H268*I268)</f>
        <v/>
      </c>
    </row>
    <row r="269" customFormat="false" ht="15" hidden="false" customHeight="false" outlineLevel="0" collapsed="false">
      <c r="A269" s="17"/>
      <c r="B269" s="17"/>
      <c r="C269" s="17"/>
      <c r="D269" s="17"/>
      <c r="E269" s="9" t="str">
        <f aca="false">IF(D269="","",IFERROR(INDEX(Insumos!$B$6:$B$105,MATCH(D269,Insumos!$A$6:$A$105,0)),"No existe"))</f>
        <v/>
      </c>
      <c r="F269" s="9" t="str">
        <f aca="false">IF(D269="","",IFERROR(INDEX(Insumos!$C$6:$C$105,MATCH(D269,Insumos!$A$6:$A$105,0)),""))</f>
        <v/>
      </c>
      <c r="G269" s="9" t="str">
        <f aca="false">IF(D269="","",IFERROR(INDEX(Insumos!$D$6:$D$105,MATCH(D269,Insumos!$A$6:$A$105,0)),""))</f>
        <v/>
      </c>
      <c r="H269" s="22"/>
      <c r="I269" s="23" t="str">
        <f aca="false">IF(D269="","",IFERROR(INDEX(Insumos!$E$6:$E$105,MATCH(D269,Insumos!$A$6:$A$105,0)),0))</f>
        <v/>
      </c>
      <c r="J269" s="23" t="str">
        <f aca="false">IF(OR(D269="",H269=""),"",H269*I269)</f>
        <v/>
      </c>
    </row>
    <row r="270" customFormat="false" ht="15" hidden="false" customHeight="false" outlineLevel="0" collapsed="false">
      <c r="A270" s="17"/>
      <c r="B270" s="17"/>
      <c r="C270" s="17"/>
      <c r="D270" s="17"/>
      <c r="E270" s="9" t="str">
        <f aca="false">IF(D270="","",IFERROR(INDEX(Insumos!$B$6:$B$105,MATCH(D270,Insumos!$A$6:$A$105,0)),"No existe"))</f>
        <v/>
      </c>
      <c r="F270" s="9" t="str">
        <f aca="false">IF(D270="","",IFERROR(INDEX(Insumos!$C$6:$C$105,MATCH(D270,Insumos!$A$6:$A$105,0)),""))</f>
        <v/>
      </c>
      <c r="G270" s="9" t="str">
        <f aca="false">IF(D270="","",IFERROR(INDEX(Insumos!$D$6:$D$105,MATCH(D270,Insumos!$A$6:$A$105,0)),""))</f>
        <v/>
      </c>
      <c r="H270" s="22"/>
      <c r="I270" s="23" t="str">
        <f aca="false">IF(D270="","",IFERROR(INDEX(Insumos!$E$6:$E$105,MATCH(D270,Insumos!$A$6:$A$105,0)),0))</f>
        <v/>
      </c>
      <c r="J270" s="23" t="str">
        <f aca="false">IF(OR(D270="",H270=""),"",H270*I270)</f>
        <v/>
      </c>
    </row>
    <row r="271" customFormat="false" ht="15" hidden="false" customHeight="false" outlineLevel="0" collapsed="false">
      <c r="A271" s="17"/>
      <c r="B271" s="17"/>
      <c r="C271" s="17"/>
      <c r="D271" s="17"/>
      <c r="E271" s="9" t="str">
        <f aca="false">IF(D271="","",IFERROR(INDEX(Insumos!$B$6:$B$105,MATCH(D271,Insumos!$A$6:$A$105,0)),"No existe"))</f>
        <v/>
      </c>
      <c r="F271" s="9" t="str">
        <f aca="false">IF(D271="","",IFERROR(INDEX(Insumos!$C$6:$C$105,MATCH(D271,Insumos!$A$6:$A$105,0)),""))</f>
        <v/>
      </c>
      <c r="G271" s="9" t="str">
        <f aca="false">IF(D271="","",IFERROR(INDEX(Insumos!$D$6:$D$105,MATCH(D271,Insumos!$A$6:$A$105,0)),""))</f>
        <v/>
      </c>
      <c r="H271" s="22"/>
      <c r="I271" s="23" t="str">
        <f aca="false">IF(D271="","",IFERROR(INDEX(Insumos!$E$6:$E$105,MATCH(D271,Insumos!$A$6:$A$105,0)),0))</f>
        <v/>
      </c>
      <c r="J271" s="23" t="str">
        <f aca="false">IF(OR(D271="",H271=""),"",H271*I271)</f>
        <v/>
      </c>
    </row>
    <row r="272" customFormat="false" ht="15" hidden="false" customHeight="false" outlineLevel="0" collapsed="false">
      <c r="A272" s="17"/>
      <c r="B272" s="17"/>
      <c r="C272" s="17"/>
      <c r="D272" s="17"/>
      <c r="E272" s="9" t="str">
        <f aca="false">IF(D272="","",IFERROR(INDEX(Insumos!$B$6:$B$105,MATCH(D272,Insumos!$A$6:$A$105,0)),"No existe"))</f>
        <v/>
      </c>
      <c r="F272" s="9" t="str">
        <f aca="false">IF(D272="","",IFERROR(INDEX(Insumos!$C$6:$C$105,MATCH(D272,Insumos!$A$6:$A$105,0)),""))</f>
        <v/>
      </c>
      <c r="G272" s="9" t="str">
        <f aca="false">IF(D272="","",IFERROR(INDEX(Insumos!$D$6:$D$105,MATCH(D272,Insumos!$A$6:$A$105,0)),""))</f>
        <v/>
      </c>
      <c r="H272" s="22"/>
      <c r="I272" s="23" t="str">
        <f aca="false">IF(D272="","",IFERROR(INDEX(Insumos!$E$6:$E$105,MATCH(D272,Insumos!$A$6:$A$105,0)),0))</f>
        <v/>
      </c>
      <c r="J272" s="23" t="str">
        <f aca="false">IF(OR(D272="",H272=""),"",H272*I272)</f>
        <v/>
      </c>
    </row>
    <row r="273" customFormat="false" ht="15" hidden="false" customHeight="false" outlineLevel="0" collapsed="false">
      <c r="A273" s="17"/>
      <c r="B273" s="17"/>
      <c r="C273" s="17"/>
      <c r="D273" s="17"/>
      <c r="E273" s="9" t="str">
        <f aca="false">IF(D273="","",IFERROR(INDEX(Insumos!$B$6:$B$105,MATCH(D273,Insumos!$A$6:$A$105,0)),"No existe"))</f>
        <v/>
      </c>
      <c r="F273" s="9" t="str">
        <f aca="false">IF(D273="","",IFERROR(INDEX(Insumos!$C$6:$C$105,MATCH(D273,Insumos!$A$6:$A$105,0)),""))</f>
        <v/>
      </c>
      <c r="G273" s="9" t="str">
        <f aca="false">IF(D273="","",IFERROR(INDEX(Insumos!$D$6:$D$105,MATCH(D273,Insumos!$A$6:$A$105,0)),""))</f>
        <v/>
      </c>
      <c r="H273" s="22"/>
      <c r="I273" s="23" t="str">
        <f aca="false">IF(D273="","",IFERROR(INDEX(Insumos!$E$6:$E$105,MATCH(D273,Insumos!$A$6:$A$105,0)),0))</f>
        <v/>
      </c>
      <c r="J273" s="23" t="str">
        <f aca="false">IF(OR(D273="",H273=""),"",H273*I273)</f>
        <v/>
      </c>
    </row>
    <row r="274" customFormat="false" ht="15" hidden="false" customHeight="false" outlineLevel="0" collapsed="false">
      <c r="A274" s="17"/>
      <c r="B274" s="17"/>
      <c r="C274" s="17"/>
      <c r="D274" s="17"/>
      <c r="E274" s="9" t="str">
        <f aca="false">IF(D274="","",IFERROR(INDEX(Insumos!$B$6:$B$105,MATCH(D274,Insumos!$A$6:$A$105,0)),"No existe"))</f>
        <v/>
      </c>
      <c r="F274" s="9" t="str">
        <f aca="false">IF(D274="","",IFERROR(INDEX(Insumos!$C$6:$C$105,MATCH(D274,Insumos!$A$6:$A$105,0)),""))</f>
        <v/>
      </c>
      <c r="G274" s="9" t="str">
        <f aca="false">IF(D274="","",IFERROR(INDEX(Insumos!$D$6:$D$105,MATCH(D274,Insumos!$A$6:$A$105,0)),""))</f>
        <v/>
      </c>
      <c r="H274" s="22"/>
      <c r="I274" s="23" t="str">
        <f aca="false">IF(D274="","",IFERROR(INDEX(Insumos!$E$6:$E$105,MATCH(D274,Insumos!$A$6:$A$105,0)),0))</f>
        <v/>
      </c>
      <c r="J274" s="23" t="str">
        <f aca="false">IF(OR(D274="",H274=""),"",H274*I274)</f>
        <v/>
      </c>
    </row>
    <row r="275" customFormat="false" ht="15" hidden="false" customHeight="false" outlineLevel="0" collapsed="false">
      <c r="A275" s="17"/>
      <c r="B275" s="17"/>
      <c r="C275" s="17"/>
      <c r="D275" s="17"/>
      <c r="E275" s="9" t="str">
        <f aca="false">IF(D275="","",IFERROR(INDEX(Insumos!$B$6:$B$105,MATCH(D275,Insumos!$A$6:$A$105,0)),"No existe"))</f>
        <v/>
      </c>
      <c r="F275" s="9" t="str">
        <f aca="false">IF(D275="","",IFERROR(INDEX(Insumos!$C$6:$C$105,MATCH(D275,Insumos!$A$6:$A$105,0)),""))</f>
        <v/>
      </c>
      <c r="G275" s="9" t="str">
        <f aca="false">IF(D275="","",IFERROR(INDEX(Insumos!$D$6:$D$105,MATCH(D275,Insumos!$A$6:$A$105,0)),""))</f>
        <v/>
      </c>
      <c r="H275" s="22"/>
      <c r="I275" s="23" t="str">
        <f aca="false">IF(D275="","",IFERROR(INDEX(Insumos!$E$6:$E$105,MATCH(D275,Insumos!$A$6:$A$105,0)),0))</f>
        <v/>
      </c>
      <c r="J275" s="23" t="str">
        <f aca="false">IF(OR(D275="",H275=""),"",H275*I275)</f>
        <v/>
      </c>
    </row>
    <row r="276" customFormat="false" ht="15" hidden="false" customHeight="false" outlineLevel="0" collapsed="false">
      <c r="A276" s="17"/>
      <c r="B276" s="17"/>
      <c r="C276" s="17"/>
      <c r="D276" s="17"/>
      <c r="E276" s="9" t="str">
        <f aca="false">IF(D276="","",IFERROR(INDEX(Insumos!$B$6:$B$105,MATCH(D276,Insumos!$A$6:$A$105,0)),"No existe"))</f>
        <v/>
      </c>
      <c r="F276" s="9" t="str">
        <f aca="false">IF(D276="","",IFERROR(INDEX(Insumos!$C$6:$C$105,MATCH(D276,Insumos!$A$6:$A$105,0)),""))</f>
        <v/>
      </c>
      <c r="G276" s="9" t="str">
        <f aca="false">IF(D276="","",IFERROR(INDEX(Insumos!$D$6:$D$105,MATCH(D276,Insumos!$A$6:$A$105,0)),""))</f>
        <v/>
      </c>
      <c r="H276" s="22"/>
      <c r="I276" s="23" t="str">
        <f aca="false">IF(D276="","",IFERROR(INDEX(Insumos!$E$6:$E$105,MATCH(D276,Insumos!$A$6:$A$105,0)),0))</f>
        <v/>
      </c>
      <c r="J276" s="23" t="str">
        <f aca="false">IF(OR(D276="",H276=""),"",H276*I276)</f>
        <v/>
      </c>
    </row>
    <row r="277" customFormat="false" ht="15" hidden="false" customHeight="false" outlineLevel="0" collapsed="false">
      <c r="A277" s="17"/>
      <c r="B277" s="17"/>
      <c r="C277" s="17"/>
      <c r="D277" s="17"/>
      <c r="E277" s="9" t="str">
        <f aca="false">IF(D277="","",IFERROR(INDEX(Insumos!$B$6:$B$105,MATCH(D277,Insumos!$A$6:$A$105,0)),"No existe"))</f>
        <v/>
      </c>
      <c r="F277" s="9" t="str">
        <f aca="false">IF(D277="","",IFERROR(INDEX(Insumos!$C$6:$C$105,MATCH(D277,Insumos!$A$6:$A$105,0)),""))</f>
        <v/>
      </c>
      <c r="G277" s="9" t="str">
        <f aca="false">IF(D277="","",IFERROR(INDEX(Insumos!$D$6:$D$105,MATCH(D277,Insumos!$A$6:$A$105,0)),""))</f>
        <v/>
      </c>
      <c r="H277" s="22"/>
      <c r="I277" s="23" t="str">
        <f aca="false">IF(D277="","",IFERROR(INDEX(Insumos!$E$6:$E$105,MATCH(D277,Insumos!$A$6:$A$105,0)),0))</f>
        <v/>
      </c>
      <c r="J277" s="23" t="str">
        <f aca="false">IF(OR(D277="",H277=""),"",H277*I277)</f>
        <v/>
      </c>
    </row>
    <row r="278" customFormat="false" ht="15" hidden="false" customHeight="false" outlineLevel="0" collapsed="false">
      <c r="A278" s="17"/>
      <c r="B278" s="17"/>
      <c r="C278" s="17"/>
      <c r="D278" s="17"/>
      <c r="E278" s="9" t="str">
        <f aca="false">IF(D278="","",IFERROR(INDEX(Insumos!$B$6:$B$105,MATCH(D278,Insumos!$A$6:$A$105,0)),"No existe"))</f>
        <v/>
      </c>
      <c r="F278" s="9" t="str">
        <f aca="false">IF(D278="","",IFERROR(INDEX(Insumos!$C$6:$C$105,MATCH(D278,Insumos!$A$6:$A$105,0)),""))</f>
        <v/>
      </c>
      <c r="G278" s="9" t="str">
        <f aca="false">IF(D278="","",IFERROR(INDEX(Insumos!$D$6:$D$105,MATCH(D278,Insumos!$A$6:$A$105,0)),""))</f>
        <v/>
      </c>
      <c r="H278" s="22"/>
      <c r="I278" s="23" t="str">
        <f aca="false">IF(D278="","",IFERROR(INDEX(Insumos!$E$6:$E$105,MATCH(D278,Insumos!$A$6:$A$105,0)),0))</f>
        <v/>
      </c>
      <c r="J278" s="23" t="str">
        <f aca="false">IF(OR(D278="",H278=""),"",H278*I278)</f>
        <v/>
      </c>
    </row>
    <row r="279" customFormat="false" ht="15" hidden="false" customHeight="false" outlineLevel="0" collapsed="false">
      <c r="A279" s="17"/>
      <c r="B279" s="17"/>
      <c r="C279" s="17"/>
      <c r="D279" s="17"/>
      <c r="E279" s="9" t="str">
        <f aca="false">IF(D279="","",IFERROR(INDEX(Insumos!$B$6:$B$105,MATCH(D279,Insumos!$A$6:$A$105,0)),"No existe"))</f>
        <v/>
      </c>
      <c r="F279" s="9" t="str">
        <f aca="false">IF(D279="","",IFERROR(INDEX(Insumos!$C$6:$C$105,MATCH(D279,Insumos!$A$6:$A$105,0)),""))</f>
        <v/>
      </c>
      <c r="G279" s="9" t="str">
        <f aca="false">IF(D279="","",IFERROR(INDEX(Insumos!$D$6:$D$105,MATCH(D279,Insumos!$A$6:$A$105,0)),""))</f>
        <v/>
      </c>
      <c r="H279" s="22"/>
      <c r="I279" s="23" t="str">
        <f aca="false">IF(D279="","",IFERROR(INDEX(Insumos!$E$6:$E$105,MATCH(D279,Insumos!$A$6:$A$105,0)),0))</f>
        <v/>
      </c>
      <c r="J279" s="23" t="str">
        <f aca="false">IF(OR(D279="",H279=""),"",H279*I279)</f>
        <v/>
      </c>
    </row>
    <row r="280" customFormat="false" ht="15" hidden="false" customHeight="false" outlineLevel="0" collapsed="false">
      <c r="A280" s="17"/>
      <c r="B280" s="17"/>
      <c r="C280" s="17"/>
      <c r="D280" s="17"/>
      <c r="E280" s="9" t="str">
        <f aca="false">IF(D280="","",IFERROR(INDEX(Insumos!$B$6:$B$105,MATCH(D280,Insumos!$A$6:$A$105,0)),"No existe"))</f>
        <v/>
      </c>
      <c r="F280" s="9" t="str">
        <f aca="false">IF(D280="","",IFERROR(INDEX(Insumos!$C$6:$C$105,MATCH(D280,Insumos!$A$6:$A$105,0)),""))</f>
        <v/>
      </c>
      <c r="G280" s="9" t="str">
        <f aca="false">IF(D280="","",IFERROR(INDEX(Insumos!$D$6:$D$105,MATCH(D280,Insumos!$A$6:$A$105,0)),""))</f>
        <v/>
      </c>
      <c r="H280" s="22"/>
      <c r="I280" s="23" t="str">
        <f aca="false">IF(D280="","",IFERROR(INDEX(Insumos!$E$6:$E$105,MATCH(D280,Insumos!$A$6:$A$105,0)),0))</f>
        <v/>
      </c>
      <c r="J280" s="23" t="str">
        <f aca="false">IF(OR(D280="",H280=""),"",H280*I280)</f>
        <v/>
      </c>
    </row>
    <row r="281" customFormat="false" ht="15" hidden="false" customHeight="false" outlineLevel="0" collapsed="false">
      <c r="A281" s="17"/>
      <c r="B281" s="17"/>
      <c r="C281" s="17"/>
      <c r="D281" s="17"/>
      <c r="E281" s="9" t="str">
        <f aca="false">IF(D281="","",IFERROR(INDEX(Insumos!$B$6:$B$105,MATCH(D281,Insumos!$A$6:$A$105,0)),"No existe"))</f>
        <v/>
      </c>
      <c r="F281" s="9" t="str">
        <f aca="false">IF(D281="","",IFERROR(INDEX(Insumos!$C$6:$C$105,MATCH(D281,Insumos!$A$6:$A$105,0)),""))</f>
        <v/>
      </c>
      <c r="G281" s="9" t="str">
        <f aca="false">IF(D281="","",IFERROR(INDEX(Insumos!$D$6:$D$105,MATCH(D281,Insumos!$A$6:$A$105,0)),""))</f>
        <v/>
      </c>
      <c r="H281" s="22"/>
      <c r="I281" s="23" t="str">
        <f aca="false">IF(D281="","",IFERROR(INDEX(Insumos!$E$6:$E$105,MATCH(D281,Insumos!$A$6:$A$105,0)),0))</f>
        <v/>
      </c>
      <c r="J281" s="23" t="str">
        <f aca="false">IF(OR(D281="",H281=""),"",H281*I281)</f>
        <v/>
      </c>
    </row>
    <row r="282" customFormat="false" ht="15" hidden="false" customHeight="false" outlineLevel="0" collapsed="false">
      <c r="A282" s="17"/>
      <c r="B282" s="17"/>
      <c r="C282" s="17"/>
      <c r="D282" s="17"/>
      <c r="E282" s="9" t="str">
        <f aca="false">IF(D282="","",IFERROR(INDEX(Insumos!$B$6:$B$105,MATCH(D282,Insumos!$A$6:$A$105,0)),"No existe"))</f>
        <v/>
      </c>
      <c r="F282" s="9" t="str">
        <f aca="false">IF(D282="","",IFERROR(INDEX(Insumos!$C$6:$C$105,MATCH(D282,Insumos!$A$6:$A$105,0)),""))</f>
        <v/>
      </c>
      <c r="G282" s="9" t="str">
        <f aca="false">IF(D282="","",IFERROR(INDEX(Insumos!$D$6:$D$105,MATCH(D282,Insumos!$A$6:$A$105,0)),""))</f>
        <v/>
      </c>
      <c r="H282" s="22"/>
      <c r="I282" s="23" t="str">
        <f aca="false">IF(D282="","",IFERROR(INDEX(Insumos!$E$6:$E$105,MATCH(D282,Insumos!$A$6:$A$105,0)),0))</f>
        <v/>
      </c>
      <c r="J282" s="23" t="str">
        <f aca="false">IF(OR(D282="",H282=""),"",H282*I282)</f>
        <v/>
      </c>
    </row>
    <row r="283" customFormat="false" ht="15" hidden="false" customHeight="false" outlineLevel="0" collapsed="false">
      <c r="A283" s="17"/>
      <c r="B283" s="17"/>
      <c r="C283" s="17"/>
      <c r="D283" s="17"/>
      <c r="E283" s="9" t="str">
        <f aca="false">IF(D283="","",IFERROR(INDEX(Insumos!$B$6:$B$105,MATCH(D283,Insumos!$A$6:$A$105,0)),"No existe"))</f>
        <v/>
      </c>
      <c r="F283" s="9" t="str">
        <f aca="false">IF(D283="","",IFERROR(INDEX(Insumos!$C$6:$C$105,MATCH(D283,Insumos!$A$6:$A$105,0)),""))</f>
        <v/>
      </c>
      <c r="G283" s="9" t="str">
        <f aca="false">IF(D283="","",IFERROR(INDEX(Insumos!$D$6:$D$105,MATCH(D283,Insumos!$A$6:$A$105,0)),""))</f>
        <v/>
      </c>
      <c r="H283" s="22"/>
      <c r="I283" s="23" t="str">
        <f aca="false">IF(D283="","",IFERROR(INDEX(Insumos!$E$6:$E$105,MATCH(D283,Insumos!$A$6:$A$105,0)),0))</f>
        <v/>
      </c>
      <c r="J283" s="23" t="str">
        <f aca="false">IF(OR(D283="",H283=""),"",H283*I283)</f>
        <v/>
      </c>
    </row>
    <row r="284" customFormat="false" ht="15" hidden="false" customHeight="false" outlineLevel="0" collapsed="false">
      <c r="A284" s="17"/>
      <c r="B284" s="17"/>
      <c r="C284" s="17"/>
      <c r="D284" s="17"/>
      <c r="E284" s="9" t="str">
        <f aca="false">IF(D284="","",IFERROR(INDEX(Insumos!$B$6:$B$105,MATCH(D284,Insumos!$A$6:$A$105,0)),"No existe"))</f>
        <v/>
      </c>
      <c r="F284" s="9" t="str">
        <f aca="false">IF(D284="","",IFERROR(INDEX(Insumos!$C$6:$C$105,MATCH(D284,Insumos!$A$6:$A$105,0)),""))</f>
        <v/>
      </c>
      <c r="G284" s="9" t="str">
        <f aca="false">IF(D284="","",IFERROR(INDEX(Insumos!$D$6:$D$105,MATCH(D284,Insumos!$A$6:$A$105,0)),""))</f>
        <v/>
      </c>
      <c r="H284" s="22"/>
      <c r="I284" s="23" t="str">
        <f aca="false">IF(D284="","",IFERROR(INDEX(Insumos!$E$6:$E$105,MATCH(D284,Insumos!$A$6:$A$105,0)),0))</f>
        <v/>
      </c>
      <c r="J284" s="23" t="str">
        <f aca="false">IF(OR(D284="",H284=""),"",H284*I284)</f>
        <v/>
      </c>
    </row>
    <row r="285" customFormat="false" ht="15" hidden="false" customHeight="false" outlineLevel="0" collapsed="false">
      <c r="A285" s="17"/>
      <c r="B285" s="17"/>
      <c r="C285" s="17"/>
      <c r="D285" s="17"/>
      <c r="E285" s="9" t="str">
        <f aca="false">IF(D285="","",IFERROR(INDEX(Insumos!$B$6:$B$105,MATCH(D285,Insumos!$A$6:$A$105,0)),"No existe"))</f>
        <v/>
      </c>
      <c r="F285" s="9" t="str">
        <f aca="false">IF(D285="","",IFERROR(INDEX(Insumos!$C$6:$C$105,MATCH(D285,Insumos!$A$6:$A$105,0)),""))</f>
        <v/>
      </c>
      <c r="G285" s="9" t="str">
        <f aca="false">IF(D285="","",IFERROR(INDEX(Insumos!$D$6:$D$105,MATCH(D285,Insumos!$A$6:$A$105,0)),""))</f>
        <v/>
      </c>
      <c r="H285" s="22"/>
      <c r="I285" s="23" t="str">
        <f aca="false">IF(D285="","",IFERROR(INDEX(Insumos!$E$6:$E$105,MATCH(D285,Insumos!$A$6:$A$105,0)),0))</f>
        <v/>
      </c>
      <c r="J285" s="23" t="str">
        <f aca="false">IF(OR(D285="",H285=""),"",H285*I285)</f>
        <v/>
      </c>
    </row>
    <row r="286" customFormat="false" ht="15" hidden="false" customHeight="false" outlineLevel="0" collapsed="false">
      <c r="A286" s="17"/>
      <c r="B286" s="17"/>
      <c r="C286" s="17"/>
      <c r="D286" s="17"/>
      <c r="E286" s="9" t="str">
        <f aca="false">IF(D286="","",IFERROR(INDEX(Insumos!$B$6:$B$105,MATCH(D286,Insumos!$A$6:$A$105,0)),"No existe"))</f>
        <v/>
      </c>
      <c r="F286" s="9" t="str">
        <f aca="false">IF(D286="","",IFERROR(INDEX(Insumos!$C$6:$C$105,MATCH(D286,Insumos!$A$6:$A$105,0)),""))</f>
        <v/>
      </c>
      <c r="G286" s="9" t="str">
        <f aca="false">IF(D286="","",IFERROR(INDEX(Insumos!$D$6:$D$105,MATCH(D286,Insumos!$A$6:$A$105,0)),""))</f>
        <v/>
      </c>
      <c r="H286" s="22"/>
      <c r="I286" s="23" t="str">
        <f aca="false">IF(D286="","",IFERROR(INDEX(Insumos!$E$6:$E$105,MATCH(D286,Insumos!$A$6:$A$105,0)),0))</f>
        <v/>
      </c>
      <c r="J286" s="23" t="str">
        <f aca="false">IF(OR(D286="",H286=""),"",H286*I286)</f>
        <v/>
      </c>
    </row>
    <row r="287" customFormat="false" ht="15" hidden="false" customHeight="false" outlineLevel="0" collapsed="false">
      <c r="A287" s="17"/>
      <c r="B287" s="17"/>
      <c r="C287" s="17"/>
      <c r="D287" s="17"/>
      <c r="E287" s="9" t="str">
        <f aca="false">IF(D287="","",IFERROR(INDEX(Insumos!$B$6:$B$105,MATCH(D287,Insumos!$A$6:$A$105,0)),"No existe"))</f>
        <v/>
      </c>
      <c r="F287" s="9" t="str">
        <f aca="false">IF(D287="","",IFERROR(INDEX(Insumos!$C$6:$C$105,MATCH(D287,Insumos!$A$6:$A$105,0)),""))</f>
        <v/>
      </c>
      <c r="G287" s="9" t="str">
        <f aca="false">IF(D287="","",IFERROR(INDEX(Insumos!$D$6:$D$105,MATCH(D287,Insumos!$A$6:$A$105,0)),""))</f>
        <v/>
      </c>
      <c r="H287" s="22"/>
      <c r="I287" s="23" t="str">
        <f aca="false">IF(D287="","",IFERROR(INDEX(Insumos!$E$6:$E$105,MATCH(D287,Insumos!$A$6:$A$105,0)),0))</f>
        <v/>
      </c>
      <c r="J287" s="23" t="str">
        <f aca="false">IF(OR(D287="",H287=""),"",H287*I287)</f>
        <v/>
      </c>
    </row>
    <row r="288" customFormat="false" ht="15" hidden="false" customHeight="false" outlineLevel="0" collapsed="false">
      <c r="A288" s="17"/>
      <c r="B288" s="17"/>
      <c r="C288" s="17"/>
      <c r="D288" s="17"/>
      <c r="E288" s="9" t="str">
        <f aca="false">IF(D288="","",IFERROR(INDEX(Insumos!$B$6:$B$105,MATCH(D288,Insumos!$A$6:$A$105,0)),"No existe"))</f>
        <v/>
      </c>
      <c r="F288" s="9" t="str">
        <f aca="false">IF(D288="","",IFERROR(INDEX(Insumos!$C$6:$C$105,MATCH(D288,Insumos!$A$6:$A$105,0)),""))</f>
        <v/>
      </c>
      <c r="G288" s="9" t="str">
        <f aca="false">IF(D288="","",IFERROR(INDEX(Insumos!$D$6:$D$105,MATCH(D288,Insumos!$A$6:$A$105,0)),""))</f>
        <v/>
      </c>
      <c r="H288" s="22"/>
      <c r="I288" s="23" t="str">
        <f aca="false">IF(D288="","",IFERROR(INDEX(Insumos!$E$6:$E$105,MATCH(D288,Insumos!$A$6:$A$105,0)),0))</f>
        <v/>
      </c>
      <c r="J288" s="23" t="str">
        <f aca="false">IF(OR(D288="",H288=""),"",H288*I288)</f>
        <v/>
      </c>
    </row>
    <row r="289" customFormat="false" ht="15" hidden="false" customHeight="false" outlineLevel="0" collapsed="false">
      <c r="A289" s="17"/>
      <c r="B289" s="17"/>
      <c r="C289" s="17"/>
      <c r="D289" s="17"/>
      <c r="E289" s="9" t="str">
        <f aca="false">IF(D289="","",IFERROR(INDEX(Insumos!$B$6:$B$105,MATCH(D289,Insumos!$A$6:$A$105,0)),"No existe"))</f>
        <v/>
      </c>
      <c r="F289" s="9" t="str">
        <f aca="false">IF(D289="","",IFERROR(INDEX(Insumos!$C$6:$C$105,MATCH(D289,Insumos!$A$6:$A$105,0)),""))</f>
        <v/>
      </c>
      <c r="G289" s="9" t="str">
        <f aca="false">IF(D289="","",IFERROR(INDEX(Insumos!$D$6:$D$105,MATCH(D289,Insumos!$A$6:$A$105,0)),""))</f>
        <v/>
      </c>
      <c r="H289" s="22"/>
      <c r="I289" s="23" t="str">
        <f aca="false">IF(D289="","",IFERROR(INDEX(Insumos!$E$6:$E$105,MATCH(D289,Insumos!$A$6:$A$105,0)),0))</f>
        <v/>
      </c>
      <c r="J289" s="23" t="str">
        <f aca="false">IF(OR(D289="",H289=""),"",H289*I289)</f>
        <v/>
      </c>
    </row>
    <row r="290" customFormat="false" ht="15" hidden="false" customHeight="false" outlineLevel="0" collapsed="false">
      <c r="A290" s="17"/>
      <c r="B290" s="17"/>
      <c r="C290" s="17"/>
      <c r="D290" s="17"/>
      <c r="E290" s="9" t="str">
        <f aca="false">IF(D290="","",IFERROR(INDEX(Insumos!$B$6:$B$105,MATCH(D290,Insumos!$A$6:$A$105,0)),"No existe"))</f>
        <v/>
      </c>
      <c r="F290" s="9" t="str">
        <f aca="false">IF(D290="","",IFERROR(INDEX(Insumos!$C$6:$C$105,MATCH(D290,Insumos!$A$6:$A$105,0)),""))</f>
        <v/>
      </c>
      <c r="G290" s="9" t="str">
        <f aca="false">IF(D290="","",IFERROR(INDEX(Insumos!$D$6:$D$105,MATCH(D290,Insumos!$A$6:$A$105,0)),""))</f>
        <v/>
      </c>
      <c r="H290" s="22"/>
      <c r="I290" s="23" t="str">
        <f aca="false">IF(D290="","",IFERROR(INDEX(Insumos!$E$6:$E$105,MATCH(D290,Insumos!$A$6:$A$105,0)),0))</f>
        <v/>
      </c>
      <c r="J290" s="23" t="str">
        <f aca="false">IF(OR(D290="",H290=""),"",H290*I290)</f>
        <v/>
      </c>
    </row>
    <row r="291" customFormat="false" ht="15" hidden="false" customHeight="false" outlineLevel="0" collapsed="false">
      <c r="A291" s="17"/>
      <c r="B291" s="17"/>
      <c r="C291" s="17"/>
      <c r="D291" s="17"/>
      <c r="E291" s="9" t="str">
        <f aca="false">IF(D291="","",IFERROR(INDEX(Insumos!$B$6:$B$105,MATCH(D291,Insumos!$A$6:$A$105,0)),"No existe"))</f>
        <v/>
      </c>
      <c r="F291" s="9" t="str">
        <f aca="false">IF(D291="","",IFERROR(INDEX(Insumos!$C$6:$C$105,MATCH(D291,Insumos!$A$6:$A$105,0)),""))</f>
        <v/>
      </c>
      <c r="G291" s="9" t="str">
        <f aca="false">IF(D291="","",IFERROR(INDEX(Insumos!$D$6:$D$105,MATCH(D291,Insumos!$A$6:$A$105,0)),""))</f>
        <v/>
      </c>
      <c r="H291" s="22"/>
      <c r="I291" s="23" t="str">
        <f aca="false">IF(D291="","",IFERROR(INDEX(Insumos!$E$6:$E$105,MATCH(D291,Insumos!$A$6:$A$105,0)),0))</f>
        <v/>
      </c>
      <c r="J291" s="23" t="str">
        <f aca="false">IF(OR(D291="",H291=""),"",H291*I291)</f>
        <v/>
      </c>
    </row>
    <row r="292" customFormat="false" ht="15" hidden="false" customHeight="false" outlineLevel="0" collapsed="false">
      <c r="A292" s="17"/>
      <c r="B292" s="17"/>
      <c r="C292" s="17"/>
      <c r="D292" s="17"/>
      <c r="E292" s="9" t="str">
        <f aca="false">IF(D292="","",IFERROR(INDEX(Insumos!$B$6:$B$105,MATCH(D292,Insumos!$A$6:$A$105,0)),"No existe"))</f>
        <v/>
      </c>
      <c r="F292" s="9" t="str">
        <f aca="false">IF(D292="","",IFERROR(INDEX(Insumos!$C$6:$C$105,MATCH(D292,Insumos!$A$6:$A$105,0)),""))</f>
        <v/>
      </c>
      <c r="G292" s="9" t="str">
        <f aca="false">IF(D292="","",IFERROR(INDEX(Insumos!$D$6:$D$105,MATCH(D292,Insumos!$A$6:$A$105,0)),""))</f>
        <v/>
      </c>
      <c r="H292" s="22"/>
      <c r="I292" s="23" t="str">
        <f aca="false">IF(D292="","",IFERROR(INDEX(Insumos!$E$6:$E$105,MATCH(D292,Insumos!$A$6:$A$105,0)),0))</f>
        <v/>
      </c>
      <c r="J292" s="23" t="str">
        <f aca="false">IF(OR(D292="",H292=""),"",H292*I292)</f>
        <v/>
      </c>
    </row>
    <row r="293" customFormat="false" ht="15" hidden="false" customHeight="false" outlineLevel="0" collapsed="false">
      <c r="A293" s="17"/>
      <c r="B293" s="17"/>
      <c r="C293" s="17"/>
      <c r="D293" s="17"/>
      <c r="E293" s="9" t="str">
        <f aca="false">IF(D293="","",IFERROR(INDEX(Insumos!$B$6:$B$105,MATCH(D293,Insumos!$A$6:$A$105,0)),"No existe"))</f>
        <v/>
      </c>
      <c r="F293" s="9" t="str">
        <f aca="false">IF(D293="","",IFERROR(INDEX(Insumos!$C$6:$C$105,MATCH(D293,Insumos!$A$6:$A$105,0)),""))</f>
        <v/>
      </c>
      <c r="G293" s="9" t="str">
        <f aca="false">IF(D293="","",IFERROR(INDEX(Insumos!$D$6:$D$105,MATCH(D293,Insumos!$A$6:$A$105,0)),""))</f>
        <v/>
      </c>
      <c r="H293" s="22"/>
      <c r="I293" s="23" t="str">
        <f aca="false">IF(D293="","",IFERROR(INDEX(Insumos!$E$6:$E$105,MATCH(D293,Insumos!$A$6:$A$105,0)),0))</f>
        <v/>
      </c>
      <c r="J293" s="23" t="str">
        <f aca="false">IF(OR(D293="",H293=""),"",H293*I293)</f>
        <v/>
      </c>
    </row>
    <row r="294" customFormat="false" ht="15" hidden="false" customHeight="false" outlineLevel="0" collapsed="false">
      <c r="A294" s="17"/>
      <c r="B294" s="17"/>
      <c r="C294" s="17"/>
      <c r="D294" s="17"/>
      <c r="E294" s="9" t="str">
        <f aca="false">IF(D294="","",IFERROR(INDEX(Insumos!$B$6:$B$105,MATCH(D294,Insumos!$A$6:$A$105,0)),"No existe"))</f>
        <v/>
      </c>
      <c r="F294" s="9" t="str">
        <f aca="false">IF(D294="","",IFERROR(INDEX(Insumos!$C$6:$C$105,MATCH(D294,Insumos!$A$6:$A$105,0)),""))</f>
        <v/>
      </c>
      <c r="G294" s="9" t="str">
        <f aca="false">IF(D294="","",IFERROR(INDEX(Insumos!$D$6:$D$105,MATCH(D294,Insumos!$A$6:$A$105,0)),""))</f>
        <v/>
      </c>
      <c r="H294" s="22"/>
      <c r="I294" s="23" t="str">
        <f aca="false">IF(D294="","",IFERROR(INDEX(Insumos!$E$6:$E$105,MATCH(D294,Insumos!$A$6:$A$105,0)),0))</f>
        <v/>
      </c>
      <c r="J294" s="23" t="str">
        <f aca="false">IF(OR(D294="",H294=""),"",H294*I294)</f>
        <v/>
      </c>
    </row>
    <row r="295" customFormat="false" ht="15" hidden="false" customHeight="false" outlineLevel="0" collapsed="false">
      <c r="A295" s="17"/>
      <c r="B295" s="17"/>
      <c r="C295" s="17"/>
      <c r="D295" s="17"/>
      <c r="E295" s="9" t="str">
        <f aca="false">IF(D295="","",IFERROR(INDEX(Insumos!$B$6:$B$105,MATCH(D295,Insumos!$A$6:$A$105,0)),"No existe"))</f>
        <v/>
      </c>
      <c r="F295" s="9" t="str">
        <f aca="false">IF(D295="","",IFERROR(INDEX(Insumos!$C$6:$C$105,MATCH(D295,Insumos!$A$6:$A$105,0)),""))</f>
        <v/>
      </c>
      <c r="G295" s="9" t="str">
        <f aca="false">IF(D295="","",IFERROR(INDEX(Insumos!$D$6:$D$105,MATCH(D295,Insumos!$A$6:$A$105,0)),""))</f>
        <v/>
      </c>
      <c r="H295" s="22"/>
      <c r="I295" s="23" t="str">
        <f aca="false">IF(D295="","",IFERROR(INDEX(Insumos!$E$6:$E$105,MATCH(D295,Insumos!$A$6:$A$105,0)),0))</f>
        <v/>
      </c>
      <c r="J295" s="23" t="str">
        <f aca="false">IF(OR(D295="",H295=""),"",H295*I295)</f>
        <v/>
      </c>
    </row>
    <row r="296" customFormat="false" ht="15" hidden="false" customHeight="false" outlineLevel="0" collapsed="false">
      <c r="A296" s="17"/>
      <c r="B296" s="17"/>
      <c r="C296" s="17"/>
      <c r="D296" s="17"/>
      <c r="E296" s="9" t="str">
        <f aca="false">IF(D296="","",IFERROR(INDEX(Insumos!$B$6:$B$105,MATCH(D296,Insumos!$A$6:$A$105,0)),"No existe"))</f>
        <v/>
      </c>
      <c r="F296" s="9" t="str">
        <f aca="false">IF(D296="","",IFERROR(INDEX(Insumos!$C$6:$C$105,MATCH(D296,Insumos!$A$6:$A$105,0)),""))</f>
        <v/>
      </c>
      <c r="G296" s="9" t="str">
        <f aca="false">IF(D296="","",IFERROR(INDEX(Insumos!$D$6:$D$105,MATCH(D296,Insumos!$A$6:$A$105,0)),""))</f>
        <v/>
      </c>
      <c r="H296" s="22"/>
      <c r="I296" s="23" t="str">
        <f aca="false">IF(D296="","",IFERROR(INDEX(Insumos!$E$6:$E$105,MATCH(D296,Insumos!$A$6:$A$105,0)),0))</f>
        <v/>
      </c>
      <c r="J296" s="23" t="str">
        <f aca="false">IF(OR(D296="",H296=""),"",H296*I296)</f>
        <v/>
      </c>
    </row>
    <row r="297" customFormat="false" ht="15" hidden="false" customHeight="false" outlineLevel="0" collapsed="false">
      <c r="A297" s="17"/>
      <c r="B297" s="17"/>
      <c r="C297" s="17"/>
      <c r="D297" s="17"/>
      <c r="E297" s="9" t="str">
        <f aca="false">IF(D297="","",IFERROR(INDEX(Insumos!$B$6:$B$105,MATCH(D297,Insumos!$A$6:$A$105,0)),"No existe"))</f>
        <v/>
      </c>
      <c r="F297" s="9" t="str">
        <f aca="false">IF(D297="","",IFERROR(INDEX(Insumos!$C$6:$C$105,MATCH(D297,Insumos!$A$6:$A$105,0)),""))</f>
        <v/>
      </c>
      <c r="G297" s="9" t="str">
        <f aca="false">IF(D297="","",IFERROR(INDEX(Insumos!$D$6:$D$105,MATCH(D297,Insumos!$A$6:$A$105,0)),""))</f>
        <v/>
      </c>
      <c r="H297" s="22"/>
      <c r="I297" s="23" t="str">
        <f aca="false">IF(D297="","",IFERROR(INDEX(Insumos!$E$6:$E$105,MATCH(D297,Insumos!$A$6:$A$105,0)),0))</f>
        <v/>
      </c>
      <c r="J297" s="23" t="str">
        <f aca="false">IF(OR(D297="",H297=""),"",H297*I297)</f>
        <v/>
      </c>
    </row>
    <row r="298" customFormat="false" ht="15" hidden="false" customHeight="false" outlineLevel="0" collapsed="false">
      <c r="A298" s="17"/>
      <c r="B298" s="17"/>
      <c r="C298" s="17"/>
      <c r="D298" s="17"/>
      <c r="E298" s="9" t="str">
        <f aca="false">IF(D298="","",IFERROR(INDEX(Insumos!$B$6:$B$105,MATCH(D298,Insumos!$A$6:$A$105,0)),"No existe"))</f>
        <v/>
      </c>
      <c r="F298" s="9" t="str">
        <f aca="false">IF(D298="","",IFERROR(INDEX(Insumos!$C$6:$C$105,MATCH(D298,Insumos!$A$6:$A$105,0)),""))</f>
        <v/>
      </c>
      <c r="G298" s="9" t="str">
        <f aca="false">IF(D298="","",IFERROR(INDEX(Insumos!$D$6:$D$105,MATCH(D298,Insumos!$A$6:$A$105,0)),""))</f>
        <v/>
      </c>
      <c r="H298" s="22"/>
      <c r="I298" s="23" t="str">
        <f aca="false">IF(D298="","",IFERROR(INDEX(Insumos!$E$6:$E$105,MATCH(D298,Insumos!$A$6:$A$105,0)),0))</f>
        <v/>
      </c>
      <c r="J298" s="23" t="str">
        <f aca="false">IF(OR(D298="",H298=""),"",H298*I298)</f>
        <v/>
      </c>
    </row>
    <row r="299" customFormat="false" ht="15" hidden="false" customHeight="false" outlineLevel="0" collapsed="false">
      <c r="A299" s="17"/>
      <c r="B299" s="17"/>
      <c r="C299" s="17"/>
      <c r="D299" s="17"/>
      <c r="E299" s="9" t="str">
        <f aca="false">IF(D299="","",IFERROR(INDEX(Insumos!$B$6:$B$105,MATCH(D299,Insumos!$A$6:$A$105,0)),"No existe"))</f>
        <v/>
      </c>
      <c r="F299" s="9" t="str">
        <f aca="false">IF(D299="","",IFERROR(INDEX(Insumos!$C$6:$C$105,MATCH(D299,Insumos!$A$6:$A$105,0)),""))</f>
        <v/>
      </c>
      <c r="G299" s="9" t="str">
        <f aca="false">IF(D299="","",IFERROR(INDEX(Insumos!$D$6:$D$105,MATCH(D299,Insumos!$A$6:$A$105,0)),""))</f>
        <v/>
      </c>
      <c r="H299" s="22"/>
      <c r="I299" s="23" t="str">
        <f aca="false">IF(D299="","",IFERROR(INDEX(Insumos!$E$6:$E$105,MATCH(D299,Insumos!$A$6:$A$105,0)),0))</f>
        <v/>
      </c>
      <c r="J299" s="23" t="str">
        <f aca="false">IF(OR(D299="",H299=""),"",H299*I299)</f>
        <v/>
      </c>
    </row>
    <row r="300" customFormat="false" ht="15" hidden="false" customHeight="false" outlineLevel="0" collapsed="false">
      <c r="A300" s="17"/>
      <c r="B300" s="17"/>
      <c r="C300" s="17"/>
      <c r="D300" s="17"/>
      <c r="E300" s="9" t="str">
        <f aca="false">IF(D300="","",IFERROR(INDEX(Insumos!$B$6:$B$105,MATCH(D300,Insumos!$A$6:$A$105,0)),"No existe"))</f>
        <v/>
      </c>
      <c r="F300" s="9" t="str">
        <f aca="false">IF(D300="","",IFERROR(INDEX(Insumos!$C$6:$C$105,MATCH(D300,Insumos!$A$6:$A$105,0)),""))</f>
        <v/>
      </c>
      <c r="G300" s="9" t="str">
        <f aca="false">IF(D300="","",IFERROR(INDEX(Insumos!$D$6:$D$105,MATCH(D300,Insumos!$A$6:$A$105,0)),""))</f>
        <v/>
      </c>
      <c r="H300" s="22"/>
      <c r="I300" s="23" t="str">
        <f aca="false">IF(D300="","",IFERROR(INDEX(Insumos!$E$6:$E$105,MATCH(D300,Insumos!$A$6:$A$105,0)),0))</f>
        <v/>
      </c>
      <c r="J300" s="23" t="str">
        <f aca="false">IF(OR(D300="",H300=""),"",H300*I300)</f>
        <v/>
      </c>
    </row>
    <row r="301" customFormat="false" ht="15" hidden="false" customHeight="false" outlineLevel="0" collapsed="false">
      <c r="A301" s="17"/>
      <c r="B301" s="17"/>
      <c r="C301" s="17"/>
      <c r="D301" s="17"/>
      <c r="E301" s="9" t="str">
        <f aca="false">IF(D301="","",IFERROR(INDEX(Insumos!$B$6:$B$105,MATCH(D301,Insumos!$A$6:$A$105,0)),"No existe"))</f>
        <v/>
      </c>
      <c r="F301" s="9" t="str">
        <f aca="false">IF(D301="","",IFERROR(INDEX(Insumos!$C$6:$C$105,MATCH(D301,Insumos!$A$6:$A$105,0)),""))</f>
        <v/>
      </c>
      <c r="G301" s="9" t="str">
        <f aca="false">IF(D301="","",IFERROR(INDEX(Insumos!$D$6:$D$105,MATCH(D301,Insumos!$A$6:$A$105,0)),""))</f>
        <v/>
      </c>
      <c r="H301" s="22"/>
      <c r="I301" s="23" t="str">
        <f aca="false">IF(D301="","",IFERROR(INDEX(Insumos!$E$6:$E$105,MATCH(D301,Insumos!$A$6:$A$105,0)),0))</f>
        <v/>
      </c>
      <c r="J301" s="23" t="str">
        <f aca="false">IF(OR(D301="",H301=""),"",H301*I301)</f>
        <v/>
      </c>
    </row>
    <row r="302" customFormat="false" ht="15" hidden="false" customHeight="false" outlineLevel="0" collapsed="false">
      <c r="A302" s="17"/>
      <c r="B302" s="17"/>
      <c r="C302" s="17"/>
      <c r="D302" s="17"/>
      <c r="E302" s="9" t="str">
        <f aca="false">IF(D302="","",IFERROR(INDEX(Insumos!$B$6:$B$105,MATCH(D302,Insumos!$A$6:$A$105,0)),"No existe"))</f>
        <v/>
      </c>
      <c r="F302" s="9" t="str">
        <f aca="false">IF(D302="","",IFERROR(INDEX(Insumos!$C$6:$C$105,MATCH(D302,Insumos!$A$6:$A$105,0)),""))</f>
        <v/>
      </c>
      <c r="G302" s="9" t="str">
        <f aca="false">IF(D302="","",IFERROR(INDEX(Insumos!$D$6:$D$105,MATCH(D302,Insumos!$A$6:$A$105,0)),""))</f>
        <v/>
      </c>
      <c r="H302" s="22"/>
      <c r="I302" s="23" t="str">
        <f aca="false">IF(D302="","",IFERROR(INDEX(Insumos!$E$6:$E$105,MATCH(D302,Insumos!$A$6:$A$105,0)),0))</f>
        <v/>
      </c>
      <c r="J302" s="23" t="str">
        <f aca="false">IF(OR(D302="",H302=""),"",H302*I302)</f>
        <v/>
      </c>
    </row>
    <row r="303" customFormat="false" ht="15" hidden="false" customHeight="false" outlineLevel="0" collapsed="false">
      <c r="A303" s="17"/>
      <c r="B303" s="17"/>
      <c r="C303" s="17"/>
      <c r="D303" s="17"/>
      <c r="E303" s="9" t="str">
        <f aca="false">IF(D303="","",IFERROR(INDEX(Insumos!$B$6:$B$105,MATCH(D303,Insumos!$A$6:$A$105,0)),"No existe"))</f>
        <v/>
      </c>
      <c r="F303" s="9" t="str">
        <f aca="false">IF(D303="","",IFERROR(INDEX(Insumos!$C$6:$C$105,MATCH(D303,Insumos!$A$6:$A$105,0)),""))</f>
        <v/>
      </c>
      <c r="G303" s="9" t="str">
        <f aca="false">IF(D303="","",IFERROR(INDEX(Insumos!$D$6:$D$105,MATCH(D303,Insumos!$A$6:$A$105,0)),""))</f>
        <v/>
      </c>
      <c r="H303" s="22"/>
      <c r="I303" s="23" t="str">
        <f aca="false">IF(D303="","",IFERROR(INDEX(Insumos!$E$6:$E$105,MATCH(D303,Insumos!$A$6:$A$105,0)),0))</f>
        <v/>
      </c>
      <c r="J303" s="23" t="str">
        <f aca="false">IF(OR(D303="",H303=""),"",H303*I303)</f>
        <v/>
      </c>
    </row>
    <row r="304" customFormat="false" ht="15" hidden="false" customHeight="false" outlineLevel="0" collapsed="false">
      <c r="A304" s="17"/>
      <c r="B304" s="17"/>
      <c r="C304" s="17"/>
      <c r="D304" s="17"/>
      <c r="E304" s="9" t="str">
        <f aca="false">IF(D304="","",IFERROR(INDEX(Insumos!$B$6:$B$105,MATCH(D304,Insumos!$A$6:$A$105,0)),"No existe"))</f>
        <v/>
      </c>
      <c r="F304" s="9" t="str">
        <f aca="false">IF(D304="","",IFERROR(INDEX(Insumos!$C$6:$C$105,MATCH(D304,Insumos!$A$6:$A$105,0)),""))</f>
        <v/>
      </c>
      <c r="G304" s="9" t="str">
        <f aca="false">IF(D304="","",IFERROR(INDEX(Insumos!$D$6:$D$105,MATCH(D304,Insumos!$A$6:$A$105,0)),""))</f>
        <v/>
      </c>
      <c r="H304" s="22"/>
      <c r="I304" s="23" t="str">
        <f aca="false">IF(D304="","",IFERROR(INDEX(Insumos!$E$6:$E$105,MATCH(D304,Insumos!$A$6:$A$105,0)),0))</f>
        <v/>
      </c>
      <c r="J304" s="23" t="str">
        <f aca="false">IF(OR(D304="",H304=""),"",H304*I304)</f>
        <v/>
      </c>
    </row>
    <row r="305" customFormat="false" ht="15" hidden="false" customHeight="false" outlineLevel="0" collapsed="false">
      <c r="A305" s="17"/>
      <c r="B305" s="17"/>
      <c r="C305" s="17"/>
      <c r="D305" s="17"/>
      <c r="E305" s="9" t="str">
        <f aca="false">IF(D305="","",IFERROR(INDEX(Insumos!$B$6:$B$105,MATCH(D305,Insumos!$A$6:$A$105,0)),"No existe"))</f>
        <v/>
      </c>
      <c r="F305" s="9" t="str">
        <f aca="false">IF(D305="","",IFERROR(INDEX(Insumos!$C$6:$C$105,MATCH(D305,Insumos!$A$6:$A$105,0)),""))</f>
        <v/>
      </c>
      <c r="G305" s="9" t="str">
        <f aca="false">IF(D305="","",IFERROR(INDEX(Insumos!$D$6:$D$105,MATCH(D305,Insumos!$A$6:$A$105,0)),""))</f>
        <v/>
      </c>
      <c r="H305" s="22"/>
      <c r="I305" s="23" t="str">
        <f aca="false">IF(D305="","",IFERROR(INDEX(Insumos!$E$6:$E$105,MATCH(D305,Insumos!$A$6:$A$105,0)),0))</f>
        <v/>
      </c>
      <c r="J305" s="23" t="str">
        <f aca="false">IF(OR(D305="",H305=""),"",H305*I305)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7" min="4" style="0" width="16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7" t="s">
        <v>69</v>
      </c>
    </row>
    <row r="5" customFormat="false" ht="31.5" hidden="false" customHeight="true" outlineLevel="0" collapsed="false">
      <c r="A5" s="8" t="s">
        <v>57</v>
      </c>
      <c r="B5" s="8" t="s">
        <v>32</v>
      </c>
      <c r="C5" s="8" t="s">
        <v>34</v>
      </c>
      <c r="D5" s="8" t="s">
        <v>70</v>
      </c>
      <c r="E5" s="8" t="s">
        <v>71</v>
      </c>
      <c r="F5" s="8" t="s">
        <v>72</v>
      </c>
      <c r="G5" s="8" t="s">
        <v>73</v>
      </c>
      <c r="H5" s="8" t="s">
        <v>74</v>
      </c>
    </row>
    <row r="6" customFormat="false" ht="15" hidden="false" customHeight="false" outlineLevel="0" collapsed="false">
      <c r="A6" s="14" t="s">
        <v>66</v>
      </c>
      <c r="B6" s="19" t="str">
        <f aca="false">IF(A6="","",IFERROR(INDEX(APU!$B$6:$B$305,MATCH(A6,APU!$A$6:$A$305,0)),"No existe"))</f>
        <v>Fundición de vigas de cimentación (concreto 3000 PSI)</v>
      </c>
      <c r="C6" s="19" t="str">
        <f aca="false">IF(A6="","",IFERROR(INDEX(APU!$C$6:$C$305,MATCH(A6,APU!$A$6:$A$305,0)),""))</f>
        <v>m³</v>
      </c>
      <c r="D6" s="21" t="n">
        <f aca="false">IF($A6="","",SUMIFS(APU!$J$6:$J$305,APU!$A$6:$A$305,$A6,APU!$F$6:$F$305,"MATERIAL"))</f>
        <v>472500</v>
      </c>
      <c r="E6" s="21" t="n">
        <f aca="false">IF($A6="","",SUMIFS(APU!$J$6:$J$305,APU!$A$6:$A$305,$A6,APU!$F$6:$F$305,"MANO DE OBRA"))</f>
        <v>81000</v>
      </c>
      <c r="F6" s="21" t="n">
        <f aca="false">IF($A6="","",SUMIFS(APU!$J$6:$J$305,APU!$A$6:$A$305,$A6,APU!$F$6:$F$305,"EQUIPO"))</f>
        <v>23750</v>
      </c>
      <c r="G6" s="21" t="n">
        <f aca="false">IF($A6="","",SUMIFS(APU!$J$6:$J$305,APU!$A$6:$A$305,$A6,APU!$F$6:$F$305,"TRANSPORTE"))</f>
        <v>0</v>
      </c>
      <c r="H6" s="21" t="n">
        <f aca="false">IF(A6="","",SUM(D6:G6))</f>
        <v>577250</v>
      </c>
    </row>
    <row r="7" customFormat="false" ht="15" hidden="false" customHeight="false" outlineLevel="0" collapsed="false">
      <c r="A7" s="17"/>
      <c r="B7" s="9" t="str">
        <f aca="false">IF(A7="","",IFERROR(INDEX(APU!$B$6:$B$305,MATCH(A7,APU!$A$6:$A$305,0)),"No existe"))</f>
        <v/>
      </c>
      <c r="C7" s="9" t="str">
        <f aca="false">IF(A7="","",IFERROR(INDEX(APU!$C$6:$C$305,MATCH(A7,APU!$A$6:$A$305,0)),""))</f>
        <v/>
      </c>
      <c r="D7" s="23" t="str">
        <f aca="false">IF($A7="","",SUMIFS(APU!$J$6:$J$305,APU!$A$6:$A$305,$A7,APU!$F$6:$F$305,"MATERIAL"))</f>
        <v/>
      </c>
      <c r="E7" s="23" t="str">
        <f aca="false">IF($A7="","",SUMIFS(APU!$J$6:$J$305,APU!$A$6:$A$305,$A7,APU!$F$6:$F$305,"MANO DE OBRA"))</f>
        <v/>
      </c>
      <c r="F7" s="23" t="str">
        <f aca="false">IF($A7="","",SUMIFS(APU!$J$6:$J$305,APU!$A$6:$A$305,$A7,APU!$F$6:$F$305,"EQUIPO"))</f>
        <v/>
      </c>
      <c r="G7" s="23" t="str">
        <f aca="false">IF($A7="","",SUMIFS(APU!$J$6:$J$305,APU!$A$6:$A$305,$A7,APU!$F$6:$F$305,"TRANSPORTE"))</f>
        <v/>
      </c>
      <c r="H7" s="23" t="str">
        <f aca="false">IF(A7="","",SUM(D7:G7))</f>
        <v/>
      </c>
    </row>
    <row r="8" customFormat="false" ht="15" hidden="false" customHeight="false" outlineLevel="0" collapsed="false">
      <c r="A8" s="17"/>
      <c r="B8" s="9" t="str">
        <f aca="false">IF(A8="","",IFERROR(INDEX(APU!$B$6:$B$305,MATCH(A8,APU!$A$6:$A$305,0)),"No existe"))</f>
        <v/>
      </c>
      <c r="C8" s="9" t="str">
        <f aca="false">IF(A8="","",IFERROR(INDEX(APU!$C$6:$C$305,MATCH(A8,APU!$A$6:$A$305,0)),""))</f>
        <v/>
      </c>
      <c r="D8" s="23" t="str">
        <f aca="false">IF($A8="","",SUMIFS(APU!$J$6:$J$305,APU!$A$6:$A$305,$A8,APU!$F$6:$F$305,"MATERIAL"))</f>
        <v/>
      </c>
      <c r="E8" s="23" t="str">
        <f aca="false">IF($A8="","",SUMIFS(APU!$J$6:$J$305,APU!$A$6:$A$305,$A8,APU!$F$6:$F$305,"MANO DE OBRA"))</f>
        <v/>
      </c>
      <c r="F8" s="23" t="str">
        <f aca="false">IF($A8="","",SUMIFS(APU!$J$6:$J$305,APU!$A$6:$A$305,$A8,APU!$F$6:$F$305,"EQUIPO"))</f>
        <v/>
      </c>
      <c r="G8" s="23" t="str">
        <f aca="false">IF($A8="","",SUMIFS(APU!$J$6:$J$305,APU!$A$6:$A$305,$A8,APU!$F$6:$F$305,"TRANSPORTE"))</f>
        <v/>
      </c>
      <c r="H8" s="23" t="str">
        <f aca="false">IF(A8="","",SUM(D8:G8))</f>
        <v/>
      </c>
    </row>
    <row r="9" customFormat="false" ht="15" hidden="false" customHeight="false" outlineLevel="0" collapsed="false">
      <c r="A9" s="17"/>
      <c r="B9" s="9" t="str">
        <f aca="false">IF(A9="","",IFERROR(INDEX(APU!$B$6:$B$305,MATCH(A9,APU!$A$6:$A$305,0)),"No existe"))</f>
        <v/>
      </c>
      <c r="C9" s="9" t="str">
        <f aca="false">IF(A9="","",IFERROR(INDEX(APU!$C$6:$C$305,MATCH(A9,APU!$A$6:$A$305,0)),""))</f>
        <v/>
      </c>
      <c r="D9" s="23" t="str">
        <f aca="false">IF($A9="","",SUMIFS(APU!$J$6:$J$305,APU!$A$6:$A$305,$A9,APU!$F$6:$F$305,"MATERIAL"))</f>
        <v/>
      </c>
      <c r="E9" s="23" t="str">
        <f aca="false">IF($A9="","",SUMIFS(APU!$J$6:$J$305,APU!$A$6:$A$305,$A9,APU!$F$6:$F$305,"MANO DE OBRA"))</f>
        <v/>
      </c>
      <c r="F9" s="23" t="str">
        <f aca="false">IF($A9="","",SUMIFS(APU!$J$6:$J$305,APU!$A$6:$A$305,$A9,APU!$F$6:$F$305,"EQUIPO"))</f>
        <v/>
      </c>
      <c r="G9" s="23" t="str">
        <f aca="false">IF($A9="","",SUMIFS(APU!$J$6:$J$305,APU!$A$6:$A$305,$A9,APU!$F$6:$F$305,"TRANSPORTE"))</f>
        <v/>
      </c>
      <c r="H9" s="23" t="str">
        <f aca="false">IF(A9="","",SUM(D9:G9))</f>
        <v/>
      </c>
    </row>
    <row r="10" customFormat="false" ht="15" hidden="false" customHeight="false" outlineLevel="0" collapsed="false">
      <c r="A10" s="17"/>
      <c r="B10" s="9" t="str">
        <f aca="false">IF(A10="","",IFERROR(INDEX(APU!$B$6:$B$305,MATCH(A10,APU!$A$6:$A$305,0)),"No existe"))</f>
        <v/>
      </c>
      <c r="C10" s="9" t="str">
        <f aca="false">IF(A10="","",IFERROR(INDEX(APU!$C$6:$C$305,MATCH(A10,APU!$A$6:$A$305,0)),""))</f>
        <v/>
      </c>
      <c r="D10" s="23" t="str">
        <f aca="false">IF($A10="","",SUMIFS(APU!$J$6:$J$305,APU!$A$6:$A$305,$A10,APU!$F$6:$F$305,"MATERIAL"))</f>
        <v/>
      </c>
      <c r="E10" s="23" t="str">
        <f aca="false">IF($A10="","",SUMIFS(APU!$J$6:$J$305,APU!$A$6:$A$305,$A10,APU!$F$6:$F$305,"MANO DE OBRA"))</f>
        <v/>
      </c>
      <c r="F10" s="23" t="str">
        <f aca="false">IF($A10="","",SUMIFS(APU!$J$6:$J$305,APU!$A$6:$A$305,$A10,APU!$F$6:$F$305,"EQUIPO"))</f>
        <v/>
      </c>
      <c r="G10" s="23" t="str">
        <f aca="false">IF($A10="","",SUMIFS(APU!$J$6:$J$305,APU!$A$6:$A$305,$A10,APU!$F$6:$F$305,"TRANSPORTE"))</f>
        <v/>
      </c>
      <c r="H10" s="23" t="str">
        <f aca="false">IF(A10="","",SUM(D10:G10))</f>
        <v/>
      </c>
    </row>
    <row r="11" customFormat="false" ht="15" hidden="false" customHeight="false" outlineLevel="0" collapsed="false">
      <c r="A11" s="17"/>
      <c r="B11" s="9" t="str">
        <f aca="false">IF(A11="","",IFERROR(INDEX(APU!$B$6:$B$305,MATCH(A11,APU!$A$6:$A$305,0)),"No existe"))</f>
        <v/>
      </c>
      <c r="C11" s="9" t="str">
        <f aca="false">IF(A11="","",IFERROR(INDEX(APU!$C$6:$C$305,MATCH(A11,APU!$A$6:$A$305,0)),""))</f>
        <v/>
      </c>
      <c r="D11" s="23" t="str">
        <f aca="false">IF($A11="","",SUMIFS(APU!$J$6:$J$305,APU!$A$6:$A$305,$A11,APU!$F$6:$F$305,"MATERIAL"))</f>
        <v/>
      </c>
      <c r="E11" s="23" t="str">
        <f aca="false">IF($A11="","",SUMIFS(APU!$J$6:$J$305,APU!$A$6:$A$305,$A11,APU!$F$6:$F$305,"MANO DE OBRA"))</f>
        <v/>
      </c>
      <c r="F11" s="23" t="str">
        <f aca="false">IF($A11="","",SUMIFS(APU!$J$6:$J$305,APU!$A$6:$A$305,$A11,APU!$F$6:$F$305,"EQUIPO"))</f>
        <v/>
      </c>
      <c r="G11" s="23" t="str">
        <f aca="false">IF($A11="","",SUMIFS(APU!$J$6:$J$305,APU!$A$6:$A$305,$A11,APU!$F$6:$F$305,"TRANSPORTE"))</f>
        <v/>
      </c>
      <c r="H11" s="23" t="str">
        <f aca="false">IF(A11="","",SUM(D11:G11))</f>
        <v/>
      </c>
    </row>
    <row r="12" customFormat="false" ht="15" hidden="false" customHeight="false" outlineLevel="0" collapsed="false">
      <c r="A12" s="17"/>
      <c r="B12" s="9" t="str">
        <f aca="false">IF(A12="","",IFERROR(INDEX(APU!$B$6:$B$305,MATCH(A12,APU!$A$6:$A$305,0)),"No existe"))</f>
        <v/>
      </c>
      <c r="C12" s="9" t="str">
        <f aca="false">IF(A12="","",IFERROR(INDEX(APU!$C$6:$C$305,MATCH(A12,APU!$A$6:$A$305,0)),""))</f>
        <v/>
      </c>
      <c r="D12" s="23" t="str">
        <f aca="false">IF($A12="","",SUMIFS(APU!$J$6:$J$305,APU!$A$6:$A$305,$A12,APU!$F$6:$F$305,"MATERIAL"))</f>
        <v/>
      </c>
      <c r="E12" s="23" t="str">
        <f aca="false">IF($A12="","",SUMIFS(APU!$J$6:$J$305,APU!$A$6:$A$305,$A12,APU!$F$6:$F$305,"MANO DE OBRA"))</f>
        <v/>
      </c>
      <c r="F12" s="23" t="str">
        <f aca="false">IF($A12="","",SUMIFS(APU!$J$6:$J$305,APU!$A$6:$A$305,$A12,APU!$F$6:$F$305,"EQUIPO"))</f>
        <v/>
      </c>
      <c r="G12" s="23" t="str">
        <f aca="false">IF($A12="","",SUMIFS(APU!$J$6:$J$305,APU!$A$6:$A$305,$A12,APU!$F$6:$F$305,"TRANSPORTE"))</f>
        <v/>
      </c>
      <c r="H12" s="23" t="str">
        <f aca="false">IF(A12="","",SUM(D12:G12))</f>
        <v/>
      </c>
    </row>
    <row r="13" customFormat="false" ht="15" hidden="false" customHeight="false" outlineLevel="0" collapsed="false">
      <c r="A13" s="17"/>
      <c r="B13" s="9" t="str">
        <f aca="false">IF(A13="","",IFERROR(INDEX(APU!$B$6:$B$305,MATCH(A13,APU!$A$6:$A$305,0)),"No existe"))</f>
        <v/>
      </c>
      <c r="C13" s="9" t="str">
        <f aca="false">IF(A13="","",IFERROR(INDEX(APU!$C$6:$C$305,MATCH(A13,APU!$A$6:$A$305,0)),""))</f>
        <v/>
      </c>
      <c r="D13" s="23" t="str">
        <f aca="false">IF($A13="","",SUMIFS(APU!$J$6:$J$305,APU!$A$6:$A$305,$A13,APU!$F$6:$F$305,"MATERIAL"))</f>
        <v/>
      </c>
      <c r="E13" s="23" t="str">
        <f aca="false">IF($A13="","",SUMIFS(APU!$J$6:$J$305,APU!$A$6:$A$305,$A13,APU!$F$6:$F$305,"MANO DE OBRA"))</f>
        <v/>
      </c>
      <c r="F13" s="23" t="str">
        <f aca="false">IF($A13="","",SUMIFS(APU!$J$6:$J$305,APU!$A$6:$A$305,$A13,APU!$F$6:$F$305,"EQUIPO"))</f>
        <v/>
      </c>
      <c r="G13" s="23" t="str">
        <f aca="false">IF($A13="","",SUMIFS(APU!$J$6:$J$305,APU!$A$6:$A$305,$A13,APU!$F$6:$F$305,"TRANSPORTE"))</f>
        <v/>
      </c>
      <c r="H13" s="23" t="str">
        <f aca="false">IF(A13="","",SUM(D13:G13))</f>
        <v/>
      </c>
    </row>
    <row r="14" customFormat="false" ht="15" hidden="false" customHeight="false" outlineLevel="0" collapsed="false">
      <c r="A14" s="17"/>
      <c r="B14" s="9" t="str">
        <f aca="false">IF(A14="","",IFERROR(INDEX(APU!$B$6:$B$305,MATCH(A14,APU!$A$6:$A$305,0)),"No existe"))</f>
        <v/>
      </c>
      <c r="C14" s="9" t="str">
        <f aca="false">IF(A14="","",IFERROR(INDEX(APU!$C$6:$C$305,MATCH(A14,APU!$A$6:$A$305,0)),""))</f>
        <v/>
      </c>
      <c r="D14" s="23" t="str">
        <f aca="false">IF($A14="","",SUMIFS(APU!$J$6:$J$305,APU!$A$6:$A$305,$A14,APU!$F$6:$F$305,"MATERIAL"))</f>
        <v/>
      </c>
      <c r="E14" s="23" t="str">
        <f aca="false">IF($A14="","",SUMIFS(APU!$J$6:$J$305,APU!$A$6:$A$305,$A14,APU!$F$6:$F$305,"MANO DE OBRA"))</f>
        <v/>
      </c>
      <c r="F14" s="23" t="str">
        <f aca="false">IF($A14="","",SUMIFS(APU!$J$6:$J$305,APU!$A$6:$A$305,$A14,APU!$F$6:$F$305,"EQUIPO"))</f>
        <v/>
      </c>
      <c r="G14" s="23" t="str">
        <f aca="false">IF($A14="","",SUMIFS(APU!$J$6:$J$305,APU!$A$6:$A$305,$A14,APU!$F$6:$F$305,"TRANSPORTE"))</f>
        <v/>
      </c>
      <c r="H14" s="23" t="str">
        <f aca="false">IF(A14="","",SUM(D14:G14))</f>
        <v/>
      </c>
    </row>
    <row r="15" customFormat="false" ht="15" hidden="false" customHeight="false" outlineLevel="0" collapsed="false">
      <c r="A15" s="17"/>
      <c r="B15" s="9" t="str">
        <f aca="false">IF(A15="","",IFERROR(INDEX(APU!$B$6:$B$305,MATCH(A15,APU!$A$6:$A$305,0)),"No existe"))</f>
        <v/>
      </c>
      <c r="C15" s="9" t="str">
        <f aca="false">IF(A15="","",IFERROR(INDEX(APU!$C$6:$C$305,MATCH(A15,APU!$A$6:$A$305,0)),""))</f>
        <v/>
      </c>
      <c r="D15" s="23" t="str">
        <f aca="false">IF($A15="","",SUMIFS(APU!$J$6:$J$305,APU!$A$6:$A$305,$A15,APU!$F$6:$F$305,"MATERIAL"))</f>
        <v/>
      </c>
      <c r="E15" s="23" t="str">
        <f aca="false">IF($A15="","",SUMIFS(APU!$J$6:$J$305,APU!$A$6:$A$305,$A15,APU!$F$6:$F$305,"MANO DE OBRA"))</f>
        <v/>
      </c>
      <c r="F15" s="23" t="str">
        <f aca="false">IF($A15="","",SUMIFS(APU!$J$6:$J$305,APU!$A$6:$A$305,$A15,APU!$F$6:$F$305,"EQUIPO"))</f>
        <v/>
      </c>
      <c r="G15" s="23" t="str">
        <f aca="false">IF($A15="","",SUMIFS(APU!$J$6:$J$305,APU!$A$6:$A$305,$A15,APU!$F$6:$F$305,"TRANSPORTE"))</f>
        <v/>
      </c>
      <c r="H15" s="23" t="str">
        <f aca="false">IF(A15="","",SUM(D15:G15))</f>
        <v/>
      </c>
    </row>
    <row r="16" customFormat="false" ht="15" hidden="false" customHeight="false" outlineLevel="0" collapsed="false">
      <c r="A16" s="17"/>
      <c r="B16" s="9" t="str">
        <f aca="false">IF(A16="","",IFERROR(INDEX(APU!$B$6:$B$305,MATCH(A16,APU!$A$6:$A$305,0)),"No existe"))</f>
        <v/>
      </c>
      <c r="C16" s="9" t="str">
        <f aca="false">IF(A16="","",IFERROR(INDEX(APU!$C$6:$C$305,MATCH(A16,APU!$A$6:$A$305,0)),""))</f>
        <v/>
      </c>
      <c r="D16" s="23" t="str">
        <f aca="false">IF($A16="","",SUMIFS(APU!$J$6:$J$305,APU!$A$6:$A$305,$A16,APU!$F$6:$F$305,"MATERIAL"))</f>
        <v/>
      </c>
      <c r="E16" s="23" t="str">
        <f aca="false">IF($A16="","",SUMIFS(APU!$J$6:$J$305,APU!$A$6:$A$305,$A16,APU!$F$6:$F$305,"MANO DE OBRA"))</f>
        <v/>
      </c>
      <c r="F16" s="23" t="str">
        <f aca="false">IF($A16="","",SUMIFS(APU!$J$6:$J$305,APU!$A$6:$A$305,$A16,APU!$F$6:$F$305,"EQUIPO"))</f>
        <v/>
      </c>
      <c r="G16" s="23" t="str">
        <f aca="false">IF($A16="","",SUMIFS(APU!$J$6:$J$305,APU!$A$6:$A$305,$A16,APU!$F$6:$F$305,"TRANSPORTE"))</f>
        <v/>
      </c>
      <c r="H16" s="23" t="str">
        <f aca="false">IF(A16="","",SUM(D16:G16))</f>
        <v/>
      </c>
    </row>
    <row r="17" customFormat="false" ht="15" hidden="false" customHeight="false" outlineLevel="0" collapsed="false">
      <c r="A17" s="17"/>
      <c r="B17" s="9" t="str">
        <f aca="false">IF(A17="","",IFERROR(INDEX(APU!$B$6:$B$305,MATCH(A17,APU!$A$6:$A$305,0)),"No existe"))</f>
        <v/>
      </c>
      <c r="C17" s="9" t="str">
        <f aca="false">IF(A17="","",IFERROR(INDEX(APU!$C$6:$C$305,MATCH(A17,APU!$A$6:$A$305,0)),""))</f>
        <v/>
      </c>
      <c r="D17" s="23" t="str">
        <f aca="false">IF($A17="","",SUMIFS(APU!$J$6:$J$305,APU!$A$6:$A$305,$A17,APU!$F$6:$F$305,"MATERIAL"))</f>
        <v/>
      </c>
      <c r="E17" s="23" t="str">
        <f aca="false">IF($A17="","",SUMIFS(APU!$J$6:$J$305,APU!$A$6:$A$305,$A17,APU!$F$6:$F$305,"MANO DE OBRA"))</f>
        <v/>
      </c>
      <c r="F17" s="23" t="str">
        <f aca="false">IF($A17="","",SUMIFS(APU!$J$6:$J$305,APU!$A$6:$A$305,$A17,APU!$F$6:$F$305,"EQUIPO"))</f>
        <v/>
      </c>
      <c r="G17" s="23" t="str">
        <f aca="false">IF($A17="","",SUMIFS(APU!$J$6:$J$305,APU!$A$6:$A$305,$A17,APU!$F$6:$F$305,"TRANSPORTE"))</f>
        <v/>
      </c>
      <c r="H17" s="23" t="str">
        <f aca="false">IF(A17="","",SUM(D17:G17))</f>
        <v/>
      </c>
    </row>
    <row r="18" customFormat="false" ht="15" hidden="false" customHeight="false" outlineLevel="0" collapsed="false">
      <c r="A18" s="17"/>
      <c r="B18" s="9" t="str">
        <f aca="false">IF(A18="","",IFERROR(INDEX(APU!$B$6:$B$305,MATCH(A18,APU!$A$6:$A$305,0)),"No existe"))</f>
        <v/>
      </c>
      <c r="C18" s="9" t="str">
        <f aca="false">IF(A18="","",IFERROR(INDEX(APU!$C$6:$C$305,MATCH(A18,APU!$A$6:$A$305,0)),""))</f>
        <v/>
      </c>
      <c r="D18" s="23" t="str">
        <f aca="false">IF($A18="","",SUMIFS(APU!$J$6:$J$305,APU!$A$6:$A$305,$A18,APU!$F$6:$F$305,"MATERIAL"))</f>
        <v/>
      </c>
      <c r="E18" s="23" t="str">
        <f aca="false">IF($A18="","",SUMIFS(APU!$J$6:$J$305,APU!$A$6:$A$305,$A18,APU!$F$6:$F$305,"MANO DE OBRA"))</f>
        <v/>
      </c>
      <c r="F18" s="23" t="str">
        <f aca="false">IF($A18="","",SUMIFS(APU!$J$6:$J$305,APU!$A$6:$A$305,$A18,APU!$F$6:$F$305,"EQUIPO"))</f>
        <v/>
      </c>
      <c r="G18" s="23" t="str">
        <f aca="false">IF($A18="","",SUMIFS(APU!$J$6:$J$305,APU!$A$6:$A$305,$A18,APU!$F$6:$F$305,"TRANSPORTE"))</f>
        <v/>
      </c>
      <c r="H18" s="23" t="str">
        <f aca="false">IF(A18="","",SUM(D18:G18))</f>
        <v/>
      </c>
    </row>
    <row r="19" customFormat="false" ht="15" hidden="false" customHeight="false" outlineLevel="0" collapsed="false">
      <c r="A19" s="17"/>
      <c r="B19" s="9" t="str">
        <f aca="false">IF(A19="","",IFERROR(INDEX(APU!$B$6:$B$305,MATCH(A19,APU!$A$6:$A$305,0)),"No existe"))</f>
        <v/>
      </c>
      <c r="C19" s="9" t="str">
        <f aca="false">IF(A19="","",IFERROR(INDEX(APU!$C$6:$C$305,MATCH(A19,APU!$A$6:$A$305,0)),""))</f>
        <v/>
      </c>
      <c r="D19" s="23" t="str">
        <f aca="false">IF($A19="","",SUMIFS(APU!$J$6:$J$305,APU!$A$6:$A$305,$A19,APU!$F$6:$F$305,"MATERIAL"))</f>
        <v/>
      </c>
      <c r="E19" s="23" t="str">
        <f aca="false">IF($A19="","",SUMIFS(APU!$J$6:$J$305,APU!$A$6:$A$305,$A19,APU!$F$6:$F$305,"MANO DE OBRA"))</f>
        <v/>
      </c>
      <c r="F19" s="23" t="str">
        <f aca="false">IF($A19="","",SUMIFS(APU!$J$6:$J$305,APU!$A$6:$A$305,$A19,APU!$F$6:$F$305,"EQUIPO"))</f>
        <v/>
      </c>
      <c r="G19" s="23" t="str">
        <f aca="false">IF($A19="","",SUMIFS(APU!$J$6:$J$305,APU!$A$6:$A$305,$A19,APU!$F$6:$F$305,"TRANSPORTE"))</f>
        <v/>
      </c>
      <c r="H19" s="23" t="str">
        <f aca="false">IF(A19="","",SUM(D19:G19))</f>
        <v/>
      </c>
    </row>
    <row r="20" customFormat="false" ht="15" hidden="false" customHeight="false" outlineLevel="0" collapsed="false">
      <c r="A20" s="17"/>
      <c r="B20" s="9" t="str">
        <f aca="false">IF(A20="","",IFERROR(INDEX(APU!$B$6:$B$305,MATCH(A20,APU!$A$6:$A$305,0)),"No existe"))</f>
        <v/>
      </c>
      <c r="C20" s="9" t="str">
        <f aca="false">IF(A20="","",IFERROR(INDEX(APU!$C$6:$C$305,MATCH(A20,APU!$A$6:$A$305,0)),""))</f>
        <v/>
      </c>
      <c r="D20" s="23" t="str">
        <f aca="false">IF($A20="","",SUMIFS(APU!$J$6:$J$305,APU!$A$6:$A$305,$A20,APU!$F$6:$F$305,"MATERIAL"))</f>
        <v/>
      </c>
      <c r="E20" s="23" t="str">
        <f aca="false">IF($A20="","",SUMIFS(APU!$J$6:$J$305,APU!$A$6:$A$305,$A20,APU!$F$6:$F$305,"MANO DE OBRA"))</f>
        <v/>
      </c>
      <c r="F20" s="23" t="str">
        <f aca="false">IF($A20="","",SUMIFS(APU!$J$6:$J$305,APU!$A$6:$A$305,$A20,APU!$F$6:$F$305,"EQUIPO"))</f>
        <v/>
      </c>
      <c r="G20" s="23" t="str">
        <f aca="false">IF($A20="","",SUMIFS(APU!$J$6:$J$305,APU!$A$6:$A$305,$A20,APU!$F$6:$F$305,"TRANSPORTE"))</f>
        <v/>
      </c>
      <c r="H20" s="23" t="str">
        <f aca="false">IF(A20="","",SUM(D20:G20))</f>
        <v/>
      </c>
    </row>
    <row r="21" customFormat="false" ht="15" hidden="false" customHeight="false" outlineLevel="0" collapsed="false">
      <c r="A21" s="17"/>
      <c r="B21" s="9" t="str">
        <f aca="false">IF(A21="","",IFERROR(INDEX(APU!$B$6:$B$305,MATCH(A21,APU!$A$6:$A$305,0)),"No existe"))</f>
        <v/>
      </c>
      <c r="C21" s="9" t="str">
        <f aca="false">IF(A21="","",IFERROR(INDEX(APU!$C$6:$C$305,MATCH(A21,APU!$A$6:$A$305,0)),""))</f>
        <v/>
      </c>
      <c r="D21" s="23" t="str">
        <f aca="false">IF($A21="","",SUMIFS(APU!$J$6:$J$305,APU!$A$6:$A$305,$A21,APU!$F$6:$F$305,"MATERIAL"))</f>
        <v/>
      </c>
      <c r="E21" s="23" t="str">
        <f aca="false">IF($A21="","",SUMIFS(APU!$J$6:$J$305,APU!$A$6:$A$305,$A21,APU!$F$6:$F$305,"MANO DE OBRA"))</f>
        <v/>
      </c>
      <c r="F21" s="23" t="str">
        <f aca="false">IF($A21="","",SUMIFS(APU!$J$6:$J$305,APU!$A$6:$A$305,$A21,APU!$F$6:$F$305,"EQUIPO"))</f>
        <v/>
      </c>
      <c r="G21" s="23" t="str">
        <f aca="false">IF($A21="","",SUMIFS(APU!$J$6:$J$305,APU!$A$6:$A$305,$A21,APU!$F$6:$F$305,"TRANSPORTE"))</f>
        <v/>
      </c>
      <c r="H21" s="23" t="str">
        <f aca="false">IF(A21="","",SUM(D21:G21))</f>
        <v/>
      </c>
    </row>
    <row r="22" customFormat="false" ht="15" hidden="false" customHeight="false" outlineLevel="0" collapsed="false">
      <c r="A22" s="17"/>
      <c r="B22" s="9" t="str">
        <f aca="false">IF(A22="","",IFERROR(INDEX(APU!$B$6:$B$305,MATCH(A22,APU!$A$6:$A$305,0)),"No existe"))</f>
        <v/>
      </c>
      <c r="C22" s="9" t="str">
        <f aca="false">IF(A22="","",IFERROR(INDEX(APU!$C$6:$C$305,MATCH(A22,APU!$A$6:$A$305,0)),""))</f>
        <v/>
      </c>
      <c r="D22" s="23" t="str">
        <f aca="false">IF($A22="","",SUMIFS(APU!$J$6:$J$305,APU!$A$6:$A$305,$A22,APU!$F$6:$F$305,"MATERIAL"))</f>
        <v/>
      </c>
      <c r="E22" s="23" t="str">
        <f aca="false">IF($A22="","",SUMIFS(APU!$J$6:$J$305,APU!$A$6:$A$305,$A22,APU!$F$6:$F$305,"MANO DE OBRA"))</f>
        <v/>
      </c>
      <c r="F22" s="23" t="str">
        <f aca="false">IF($A22="","",SUMIFS(APU!$J$6:$J$305,APU!$A$6:$A$305,$A22,APU!$F$6:$F$305,"EQUIPO"))</f>
        <v/>
      </c>
      <c r="G22" s="23" t="str">
        <f aca="false">IF($A22="","",SUMIFS(APU!$J$6:$J$305,APU!$A$6:$A$305,$A22,APU!$F$6:$F$305,"TRANSPORTE"))</f>
        <v/>
      </c>
      <c r="H22" s="23" t="str">
        <f aca="false">IF(A22="","",SUM(D22:G22))</f>
        <v/>
      </c>
    </row>
    <row r="23" customFormat="false" ht="15" hidden="false" customHeight="false" outlineLevel="0" collapsed="false">
      <c r="A23" s="17"/>
      <c r="B23" s="9" t="str">
        <f aca="false">IF(A23="","",IFERROR(INDEX(APU!$B$6:$B$305,MATCH(A23,APU!$A$6:$A$305,0)),"No existe"))</f>
        <v/>
      </c>
      <c r="C23" s="9" t="str">
        <f aca="false">IF(A23="","",IFERROR(INDEX(APU!$C$6:$C$305,MATCH(A23,APU!$A$6:$A$305,0)),""))</f>
        <v/>
      </c>
      <c r="D23" s="23" t="str">
        <f aca="false">IF($A23="","",SUMIFS(APU!$J$6:$J$305,APU!$A$6:$A$305,$A23,APU!$F$6:$F$305,"MATERIAL"))</f>
        <v/>
      </c>
      <c r="E23" s="23" t="str">
        <f aca="false">IF($A23="","",SUMIFS(APU!$J$6:$J$305,APU!$A$6:$A$305,$A23,APU!$F$6:$F$305,"MANO DE OBRA"))</f>
        <v/>
      </c>
      <c r="F23" s="23" t="str">
        <f aca="false">IF($A23="","",SUMIFS(APU!$J$6:$J$305,APU!$A$6:$A$305,$A23,APU!$F$6:$F$305,"EQUIPO"))</f>
        <v/>
      </c>
      <c r="G23" s="23" t="str">
        <f aca="false">IF($A23="","",SUMIFS(APU!$J$6:$J$305,APU!$A$6:$A$305,$A23,APU!$F$6:$F$305,"TRANSPORTE"))</f>
        <v/>
      </c>
      <c r="H23" s="23" t="str">
        <f aca="false">IF(A23="","",SUM(D23:G23))</f>
        <v/>
      </c>
    </row>
    <row r="24" customFormat="false" ht="15" hidden="false" customHeight="false" outlineLevel="0" collapsed="false">
      <c r="A24" s="17"/>
      <c r="B24" s="9" t="str">
        <f aca="false">IF(A24="","",IFERROR(INDEX(APU!$B$6:$B$305,MATCH(A24,APU!$A$6:$A$305,0)),"No existe"))</f>
        <v/>
      </c>
      <c r="C24" s="9" t="str">
        <f aca="false">IF(A24="","",IFERROR(INDEX(APU!$C$6:$C$305,MATCH(A24,APU!$A$6:$A$305,0)),""))</f>
        <v/>
      </c>
      <c r="D24" s="23" t="str">
        <f aca="false">IF($A24="","",SUMIFS(APU!$J$6:$J$305,APU!$A$6:$A$305,$A24,APU!$F$6:$F$305,"MATERIAL"))</f>
        <v/>
      </c>
      <c r="E24" s="23" t="str">
        <f aca="false">IF($A24="","",SUMIFS(APU!$J$6:$J$305,APU!$A$6:$A$305,$A24,APU!$F$6:$F$305,"MANO DE OBRA"))</f>
        <v/>
      </c>
      <c r="F24" s="23" t="str">
        <f aca="false">IF($A24="","",SUMIFS(APU!$J$6:$J$305,APU!$A$6:$A$305,$A24,APU!$F$6:$F$305,"EQUIPO"))</f>
        <v/>
      </c>
      <c r="G24" s="23" t="str">
        <f aca="false">IF($A24="","",SUMIFS(APU!$J$6:$J$305,APU!$A$6:$A$305,$A24,APU!$F$6:$F$305,"TRANSPORTE"))</f>
        <v/>
      </c>
      <c r="H24" s="23" t="str">
        <f aca="false">IF(A24="","",SUM(D24:G24))</f>
        <v/>
      </c>
    </row>
    <row r="25" customFormat="false" ht="15" hidden="false" customHeight="false" outlineLevel="0" collapsed="false">
      <c r="A25" s="17"/>
      <c r="B25" s="9" t="str">
        <f aca="false">IF(A25="","",IFERROR(INDEX(APU!$B$6:$B$305,MATCH(A25,APU!$A$6:$A$305,0)),"No existe"))</f>
        <v/>
      </c>
      <c r="C25" s="9" t="str">
        <f aca="false">IF(A25="","",IFERROR(INDEX(APU!$C$6:$C$305,MATCH(A25,APU!$A$6:$A$305,0)),""))</f>
        <v/>
      </c>
      <c r="D25" s="23" t="str">
        <f aca="false">IF($A25="","",SUMIFS(APU!$J$6:$J$305,APU!$A$6:$A$305,$A25,APU!$F$6:$F$305,"MATERIAL"))</f>
        <v/>
      </c>
      <c r="E25" s="23" t="str">
        <f aca="false">IF($A25="","",SUMIFS(APU!$J$6:$J$305,APU!$A$6:$A$305,$A25,APU!$F$6:$F$305,"MANO DE OBRA"))</f>
        <v/>
      </c>
      <c r="F25" s="23" t="str">
        <f aca="false">IF($A25="","",SUMIFS(APU!$J$6:$J$305,APU!$A$6:$A$305,$A25,APU!$F$6:$F$305,"EQUIPO"))</f>
        <v/>
      </c>
      <c r="G25" s="23" t="str">
        <f aca="false">IF($A25="","",SUMIFS(APU!$J$6:$J$305,APU!$A$6:$A$305,$A25,APU!$F$6:$F$305,"TRANSPORTE"))</f>
        <v/>
      </c>
      <c r="H25" s="23" t="str">
        <f aca="false">IF(A25="","",SUM(D25:G25))</f>
        <v/>
      </c>
    </row>
    <row r="26" customFormat="false" ht="15" hidden="false" customHeight="false" outlineLevel="0" collapsed="false">
      <c r="A26" s="17"/>
      <c r="B26" s="9" t="str">
        <f aca="false">IF(A26="","",IFERROR(INDEX(APU!$B$6:$B$305,MATCH(A26,APU!$A$6:$A$305,0)),"No existe"))</f>
        <v/>
      </c>
      <c r="C26" s="9" t="str">
        <f aca="false">IF(A26="","",IFERROR(INDEX(APU!$C$6:$C$305,MATCH(A26,APU!$A$6:$A$305,0)),""))</f>
        <v/>
      </c>
      <c r="D26" s="23" t="str">
        <f aca="false">IF($A26="","",SUMIFS(APU!$J$6:$J$305,APU!$A$6:$A$305,$A26,APU!$F$6:$F$305,"MATERIAL"))</f>
        <v/>
      </c>
      <c r="E26" s="23" t="str">
        <f aca="false">IF($A26="","",SUMIFS(APU!$J$6:$J$305,APU!$A$6:$A$305,$A26,APU!$F$6:$F$305,"MANO DE OBRA"))</f>
        <v/>
      </c>
      <c r="F26" s="23" t="str">
        <f aca="false">IF($A26="","",SUMIFS(APU!$J$6:$J$305,APU!$A$6:$A$305,$A26,APU!$F$6:$F$305,"EQUIPO"))</f>
        <v/>
      </c>
      <c r="G26" s="23" t="str">
        <f aca="false">IF($A26="","",SUMIFS(APU!$J$6:$J$305,APU!$A$6:$A$305,$A26,APU!$F$6:$F$305,"TRANSPORTE"))</f>
        <v/>
      </c>
      <c r="H26" s="23" t="str">
        <f aca="false">IF(A26="","",SUM(D26:G26))</f>
        <v/>
      </c>
    </row>
    <row r="27" customFormat="false" ht="15" hidden="false" customHeight="false" outlineLevel="0" collapsed="false">
      <c r="A27" s="17"/>
      <c r="B27" s="9" t="str">
        <f aca="false">IF(A27="","",IFERROR(INDEX(APU!$B$6:$B$305,MATCH(A27,APU!$A$6:$A$305,0)),"No existe"))</f>
        <v/>
      </c>
      <c r="C27" s="9" t="str">
        <f aca="false">IF(A27="","",IFERROR(INDEX(APU!$C$6:$C$305,MATCH(A27,APU!$A$6:$A$305,0)),""))</f>
        <v/>
      </c>
      <c r="D27" s="23" t="str">
        <f aca="false">IF($A27="","",SUMIFS(APU!$J$6:$J$305,APU!$A$6:$A$305,$A27,APU!$F$6:$F$305,"MATERIAL"))</f>
        <v/>
      </c>
      <c r="E27" s="23" t="str">
        <f aca="false">IF($A27="","",SUMIFS(APU!$J$6:$J$305,APU!$A$6:$A$305,$A27,APU!$F$6:$F$305,"MANO DE OBRA"))</f>
        <v/>
      </c>
      <c r="F27" s="23" t="str">
        <f aca="false">IF($A27="","",SUMIFS(APU!$J$6:$J$305,APU!$A$6:$A$305,$A27,APU!$F$6:$F$305,"EQUIPO"))</f>
        <v/>
      </c>
      <c r="G27" s="23" t="str">
        <f aca="false">IF($A27="","",SUMIFS(APU!$J$6:$J$305,APU!$A$6:$A$305,$A27,APU!$F$6:$F$305,"TRANSPORTE"))</f>
        <v/>
      </c>
      <c r="H27" s="23" t="str">
        <f aca="false">IF(A27="","",SUM(D27:G27))</f>
        <v/>
      </c>
    </row>
    <row r="28" customFormat="false" ht="15" hidden="false" customHeight="false" outlineLevel="0" collapsed="false">
      <c r="A28" s="17"/>
      <c r="B28" s="9" t="str">
        <f aca="false">IF(A28="","",IFERROR(INDEX(APU!$B$6:$B$305,MATCH(A28,APU!$A$6:$A$305,0)),"No existe"))</f>
        <v/>
      </c>
      <c r="C28" s="9" t="str">
        <f aca="false">IF(A28="","",IFERROR(INDEX(APU!$C$6:$C$305,MATCH(A28,APU!$A$6:$A$305,0)),""))</f>
        <v/>
      </c>
      <c r="D28" s="23" t="str">
        <f aca="false">IF($A28="","",SUMIFS(APU!$J$6:$J$305,APU!$A$6:$A$305,$A28,APU!$F$6:$F$305,"MATERIAL"))</f>
        <v/>
      </c>
      <c r="E28" s="23" t="str">
        <f aca="false">IF($A28="","",SUMIFS(APU!$J$6:$J$305,APU!$A$6:$A$305,$A28,APU!$F$6:$F$305,"MANO DE OBRA"))</f>
        <v/>
      </c>
      <c r="F28" s="23" t="str">
        <f aca="false">IF($A28="","",SUMIFS(APU!$J$6:$J$305,APU!$A$6:$A$305,$A28,APU!$F$6:$F$305,"EQUIPO"))</f>
        <v/>
      </c>
      <c r="G28" s="23" t="str">
        <f aca="false">IF($A28="","",SUMIFS(APU!$J$6:$J$305,APU!$A$6:$A$305,$A28,APU!$F$6:$F$305,"TRANSPORTE"))</f>
        <v/>
      </c>
      <c r="H28" s="23" t="str">
        <f aca="false">IF(A28="","",SUM(D28:G28))</f>
        <v/>
      </c>
    </row>
    <row r="29" customFormat="false" ht="15" hidden="false" customHeight="false" outlineLevel="0" collapsed="false">
      <c r="A29" s="17"/>
      <c r="B29" s="9" t="str">
        <f aca="false">IF(A29="","",IFERROR(INDEX(APU!$B$6:$B$305,MATCH(A29,APU!$A$6:$A$305,0)),"No existe"))</f>
        <v/>
      </c>
      <c r="C29" s="9" t="str">
        <f aca="false">IF(A29="","",IFERROR(INDEX(APU!$C$6:$C$305,MATCH(A29,APU!$A$6:$A$305,0)),""))</f>
        <v/>
      </c>
      <c r="D29" s="23" t="str">
        <f aca="false">IF($A29="","",SUMIFS(APU!$J$6:$J$305,APU!$A$6:$A$305,$A29,APU!$F$6:$F$305,"MATERIAL"))</f>
        <v/>
      </c>
      <c r="E29" s="23" t="str">
        <f aca="false">IF($A29="","",SUMIFS(APU!$J$6:$J$305,APU!$A$6:$A$305,$A29,APU!$F$6:$F$305,"MANO DE OBRA"))</f>
        <v/>
      </c>
      <c r="F29" s="23" t="str">
        <f aca="false">IF($A29="","",SUMIFS(APU!$J$6:$J$305,APU!$A$6:$A$305,$A29,APU!$F$6:$F$305,"EQUIPO"))</f>
        <v/>
      </c>
      <c r="G29" s="23" t="str">
        <f aca="false">IF($A29="","",SUMIFS(APU!$J$6:$J$305,APU!$A$6:$A$305,$A29,APU!$F$6:$F$305,"TRANSPORTE"))</f>
        <v/>
      </c>
      <c r="H29" s="23" t="str">
        <f aca="false">IF(A29="","",SUM(D29:G29))</f>
        <v/>
      </c>
    </row>
    <row r="30" customFormat="false" ht="15" hidden="false" customHeight="false" outlineLevel="0" collapsed="false">
      <c r="A30" s="17"/>
      <c r="B30" s="9" t="str">
        <f aca="false">IF(A30="","",IFERROR(INDEX(APU!$B$6:$B$305,MATCH(A30,APU!$A$6:$A$305,0)),"No existe"))</f>
        <v/>
      </c>
      <c r="C30" s="9" t="str">
        <f aca="false">IF(A30="","",IFERROR(INDEX(APU!$C$6:$C$305,MATCH(A30,APU!$A$6:$A$305,0)),""))</f>
        <v/>
      </c>
      <c r="D30" s="23" t="str">
        <f aca="false">IF($A30="","",SUMIFS(APU!$J$6:$J$305,APU!$A$6:$A$305,$A30,APU!$F$6:$F$305,"MATERIAL"))</f>
        <v/>
      </c>
      <c r="E30" s="23" t="str">
        <f aca="false">IF($A30="","",SUMIFS(APU!$J$6:$J$305,APU!$A$6:$A$305,$A30,APU!$F$6:$F$305,"MANO DE OBRA"))</f>
        <v/>
      </c>
      <c r="F30" s="23" t="str">
        <f aca="false">IF($A30="","",SUMIFS(APU!$J$6:$J$305,APU!$A$6:$A$305,$A30,APU!$F$6:$F$305,"EQUIPO"))</f>
        <v/>
      </c>
      <c r="G30" s="23" t="str">
        <f aca="false">IF($A30="","",SUMIFS(APU!$J$6:$J$305,APU!$A$6:$A$305,$A30,APU!$F$6:$F$305,"TRANSPORTE"))</f>
        <v/>
      </c>
      <c r="H30" s="23" t="str">
        <f aca="false">IF(A30="","",SUM(D30:G30))</f>
        <v/>
      </c>
    </row>
    <row r="31" customFormat="false" ht="15" hidden="false" customHeight="false" outlineLevel="0" collapsed="false">
      <c r="A31" s="17"/>
      <c r="B31" s="9" t="str">
        <f aca="false">IF(A31="","",IFERROR(INDEX(APU!$B$6:$B$305,MATCH(A31,APU!$A$6:$A$305,0)),"No existe"))</f>
        <v/>
      </c>
      <c r="C31" s="9" t="str">
        <f aca="false">IF(A31="","",IFERROR(INDEX(APU!$C$6:$C$305,MATCH(A31,APU!$A$6:$A$305,0)),""))</f>
        <v/>
      </c>
      <c r="D31" s="23" t="str">
        <f aca="false">IF($A31="","",SUMIFS(APU!$J$6:$J$305,APU!$A$6:$A$305,$A31,APU!$F$6:$F$305,"MATERIAL"))</f>
        <v/>
      </c>
      <c r="E31" s="23" t="str">
        <f aca="false">IF($A31="","",SUMIFS(APU!$J$6:$J$305,APU!$A$6:$A$305,$A31,APU!$F$6:$F$305,"MANO DE OBRA"))</f>
        <v/>
      </c>
      <c r="F31" s="23" t="str">
        <f aca="false">IF($A31="","",SUMIFS(APU!$J$6:$J$305,APU!$A$6:$A$305,$A31,APU!$F$6:$F$305,"EQUIPO"))</f>
        <v/>
      </c>
      <c r="G31" s="23" t="str">
        <f aca="false">IF($A31="","",SUMIFS(APU!$J$6:$J$305,APU!$A$6:$A$305,$A31,APU!$F$6:$F$305,"TRANSPORTE"))</f>
        <v/>
      </c>
      <c r="H31" s="23" t="str">
        <f aca="false">IF(A31="","",SUM(D31:G31))</f>
        <v/>
      </c>
    </row>
    <row r="32" customFormat="false" ht="15" hidden="false" customHeight="false" outlineLevel="0" collapsed="false">
      <c r="A32" s="17"/>
      <c r="B32" s="9" t="str">
        <f aca="false">IF(A32="","",IFERROR(INDEX(APU!$B$6:$B$305,MATCH(A32,APU!$A$6:$A$305,0)),"No existe"))</f>
        <v/>
      </c>
      <c r="C32" s="9" t="str">
        <f aca="false">IF(A32="","",IFERROR(INDEX(APU!$C$6:$C$305,MATCH(A32,APU!$A$6:$A$305,0)),""))</f>
        <v/>
      </c>
      <c r="D32" s="23" t="str">
        <f aca="false">IF($A32="","",SUMIFS(APU!$J$6:$J$305,APU!$A$6:$A$305,$A32,APU!$F$6:$F$305,"MATERIAL"))</f>
        <v/>
      </c>
      <c r="E32" s="23" t="str">
        <f aca="false">IF($A32="","",SUMIFS(APU!$J$6:$J$305,APU!$A$6:$A$305,$A32,APU!$F$6:$F$305,"MANO DE OBRA"))</f>
        <v/>
      </c>
      <c r="F32" s="23" t="str">
        <f aca="false">IF($A32="","",SUMIFS(APU!$J$6:$J$305,APU!$A$6:$A$305,$A32,APU!$F$6:$F$305,"EQUIPO"))</f>
        <v/>
      </c>
      <c r="G32" s="23" t="str">
        <f aca="false">IF($A32="","",SUMIFS(APU!$J$6:$J$305,APU!$A$6:$A$305,$A32,APU!$F$6:$F$305,"TRANSPORTE"))</f>
        <v/>
      </c>
      <c r="H32" s="23" t="str">
        <f aca="false">IF(A32="","",SUM(D32:G32))</f>
        <v/>
      </c>
    </row>
    <row r="33" customFormat="false" ht="15" hidden="false" customHeight="false" outlineLevel="0" collapsed="false">
      <c r="A33" s="17"/>
      <c r="B33" s="9" t="str">
        <f aca="false">IF(A33="","",IFERROR(INDEX(APU!$B$6:$B$305,MATCH(A33,APU!$A$6:$A$305,0)),"No existe"))</f>
        <v/>
      </c>
      <c r="C33" s="9" t="str">
        <f aca="false">IF(A33="","",IFERROR(INDEX(APU!$C$6:$C$305,MATCH(A33,APU!$A$6:$A$305,0)),""))</f>
        <v/>
      </c>
      <c r="D33" s="23" t="str">
        <f aca="false">IF($A33="","",SUMIFS(APU!$J$6:$J$305,APU!$A$6:$A$305,$A33,APU!$F$6:$F$305,"MATERIAL"))</f>
        <v/>
      </c>
      <c r="E33" s="23" t="str">
        <f aca="false">IF($A33="","",SUMIFS(APU!$J$6:$J$305,APU!$A$6:$A$305,$A33,APU!$F$6:$F$305,"MANO DE OBRA"))</f>
        <v/>
      </c>
      <c r="F33" s="23" t="str">
        <f aca="false">IF($A33="","",SUMIFS(APU!$J$6:$J$305,APU!$A$6:$A$305,$A33,APU!$F$6:$F$305,"EQUIPO"))</f>
        <v/>
      </c>
      <c r="G33" s="23" t="str">
        <f aca="false">IF($A33="","",SUMIFS(APU!$J$6:$J$305,APU!$A$6:$A$305,$A33,APU!$F$6:$F$305,"TRANSPORTE"))</f>
        <v/>
      </c>
      <c r="H33" s="23" t="str">
        <f aca="false">IF(A33="","",SUM(D33:G33))</f>
        <v/>
      </c>
    </row>
    <row r="34" customFormat="false" ht="15" hidden="false" customHeight="false" outlineLevel="0" collapsed="false">
      <c r="A34" s="17"/>
      <c r="B34" s="9" t="str">
        <f aca="false">IF(A34="","",IFERROR(INDEX(APU!$B$6:$B$305,MATCH(A34,APU!$A$6:$A$305,0)),"No existe"))</f>
        <v/>
      </c>
      <c r="C34" s="9" t="str">
        <f aca="false">IF(A34="","",IFERROR(INDEX(APU!$C$6:$C$305,MATCH(A34,APU!$A$6:$A$305,0)),""))</f>
        <v/>
      </c>
      <c r="D34" s="23" t="str">
        <f aca="false">IF($A34="","",SUMIFS(APU!$J$6:$J$305,APU!$A$6:$A$305,$A34,APU!$F$6:$F$305,"MATERIAL"))</f>
        <v/>
      </c>
      <c r="E34" s="23" t="str">
        <f aca="false">IF($A34="","",SUMIFS(APU!$J$6:$J$305,APU!$A$6:$A$305,$A34,APU!$F$6:$F$305,"MANO DE OBRA"))</f>
        <v/>
      </c>
      <c r="F34" s="23" t="str">
        <f aca="false">IF($A34="","",SUMIFS(APU!$J$6:$J$305,APU!$A$6:$A$305,$A34,APU!$F$6:$F$305,"EQUIPO"))</f>
        <v/>
      </c>
      <c r="G34" s="23" t="str">
        <f aca="false">IF($A34="","",SUMIFS(APU!$J$6:$J$305,APU!$A$6:$A$305,$A34,APU!$F$6:$F$305,"TRANSPORTE"))</f>
        <v/>
      </c>
      <c r="H34" s="23" t="str">
        <f aca="false">IF(A34="","",SUM(D34:G34))</f>
        <v/>
      </c>
    </row>
    <row r="35" customFormat="false" ht="15" hidden="false" customHeight="false" outlineLevel="0" collapsed="false">
      <c r="A35" s="17"/>
      <c r="B35" s="9" t="str">
        <f aca="false">IF(A35="","",IFERROR(INDEX(APU!$B$6:$B$305,MATCH(A35,APU!$A$6:$A$305,0)),"No existe"))</f>
        <v/>
      </c>
      <c r="C35" s="9" t="str">
        <f aca="false">IF(A35="","",IFERROR(INDEX(APU!$C$6:$C$305,MATCH(A35,APU!$A$6:$A$305,0)),""))</f>
        <v/>
      </c>
      <c r="D35" s="23" t="str">
        <f aca="false">IF($A35="","",SUMIFS(APU!$J$6:$J$305,APU!$A$6:$A$305,$A35,APU!$F$6:$F$305,"MATERIAL"))</f>
        <v/>
      </c>
      <c r="E35" s="23" t="str">
        <f aca="false">IF($A35="","",SUMIFS(APU!$J$6:$J$305,APU!$A$6:$A$305,$A35,APU!$F$6:$F$305,"MANO DE OBRA"))</f>
        <v/>
      </c>
      <c r="F35" s="23" t="str">
        <f aca="false">IF($A35="","",SUMIFS(APU!$J$6:$J$305,APU!$A$6:$A$305,$A35,APU!$F$6:$F$305,"EQUIPO"))</f>
        <v/>
      </c>
      <c r="G35" s="23" t="str">
        <f aca="false">IF($A35="","",SUMIFS(APU!$J$6:$J$305,APU!$A$6:$A$305,$A35,APU!$F$6:$F$305,"TRANSPORTE"))</f>
        <v/>
      </c>
      <c r="H35" s="23" t="str">
        <f aca="false">IF(A35="","",SUM(D35:G35))</f>
        <v/>
      </c>
    </row>
    <row r="36" customFormat="false" ht="15" hidden="false" customHeight="false" outlineLevel="0" collapsed="false">
      <c r="A36" s="17"/>
      <c r="B36" s="9" t="str">
        <f aca="false">IF(A36="","",IFERROR(INDEX(APU!$B$6:$B$305,MATCH(A36,APU!$A$6:$A$305,0)),"No existe"))</f>
        <v/>
      </c>
      <c r="C36" s="9" t="str">
        <f aca="false">IF(A36="","",IFERROR(INDEX(APU!$C$6:$C$305,MATCH(A36,APU!$A$6:$A$305,0)),""))</f>
        <v/>
      </c>
      <c r="D36" s="23" t="str">
        <f aca="false">IF($A36="","",SUMIFS(APU!$J$6:$J$305,APU!$A$6:$A$305,$A36,APU!$F$6:$F$305,"MATERIAL"))</f>
        <v/>
      </c>
      <c r="E36" s="23" t="str">
        <f aca="false">IF($A36="","",SUMIFS(APU!$J$6:$J$305,APU!$A$6:$A$305,$A36,APU!$F$6:$F$305,"MANO DE OBRA"))</f>
        <v/>
      </c>
      <c r="F36" s="23" t="str">
        <f aca="false">IF($A36="","",SUMIFS(APU!$J$6:$J$305,APU!$A$6:$A$305,$A36,APU!$F$6:$F$305,"EQUIPO"))</f>
        <v/>
      </c>
      <c r="G36" s="23" t="str">
        <f aca="false">IF($A36="","",SUMIFS(APU!$J$6:$J$305,APU!$A$6:$A$305,$A36,APU!$F$6:$F$305,"TRANSPORTE"))</f>
        <v/>
      </c>
      <c r="H36" s="23" t="str">
        <f aca="false">IF(A36="","",SUM(D36:G36))</f>
        <v/>
      </c>
    </row>
    <row r="37" customFormat="false" ht="15" hidden="false" customHeight="false" outlineLevel="0" collapsed="false">
      <c r="A37" s="17"/>
      <c r="B37" s="9" t="str">
        <f aca="false">IF(A37="","",IFERROR(INDEX(APU!$B$6:$B$305,MATCH(A37,APU!$A$6:$A$305,0)),"No existe"))</f>
        <v/>
      </c>
      <c r="C37" s="9" t="str">
        <f aca="false">IF(A37="","",IFERROR(INDEX(APU!$C$6:$C$305,MATCH(A37,APU!$A$6:$A$305,0)),""))</f>
        <v/>
      </c>
      <c r="D37" s="23" t="str">
        <f aca="false">IF($A37="","",SUMIFS(APU!$J$6:$J$305,APU!$A$6:$A$305,$A37,APU!$F$6:$F$305,"MATERIAL"))</f>
        <v/>
      </c>
      <c r="E37" s="23" t="str">
        <f aca="false">IF($A37="","",SUMIFS(APU!$J$6:$J$305,APU!$A$6:$A$305,$A37,APU!$F$6:$F$305,"MANO DE OBRA"))</f>
        <v/>
      </c>
      <c r="F37" s="23" t="str">
        <f aca="false">IF($A37="","",SUMIFS(APU!$J$6:$J$305,APU!$A$6:$A$305,$A37,APU!$F$6:$F$305,"EQUIPO"))</f>
        <v/>
      </c>
      <c r="G37" s="23" t="str">
        <f aca="false">IF($A37="","",SUMIFS(APU!$J$6:$J$305,APU!$A$6:$A$305,$A37,APU!$F$6:$F$305,"TRANSPORTE"))</f>
        <v/>
      </c>
      <c r="H37" s="23" t="str">
        <f aca="false">IF(A37="","",SUM(D37:G37))</f>
        <v/>
      </c>
    </row>
    <row r="38" customFormat="false" ht="15" hidden="false" customHeight="false" outlineLevel="0" collapsed="false">
      <c r="A38" s="17"/>
      <c r="B38" s="9" t="str">
        <f aca="false">IF(A38="","",IFERROR(INDEX(APU!$B$6:$B$305,MATCH(A38,APU!$A$6:$A$305,0)),"No existe"))</f>
        <v/>
      </c>
      <c r="C38" s="9" t="str">
        <f aca="false">IF(A38="","",IFERROR(INDEX(APU!$C$6:$C$305,MATCH(A38,APU!$A$6:$A$305,0)),""))</f>
        <v/>
      </c>
      <c r="D38" s="23" t="str">
        <f aca="false">IF($A38="","",SUMIFS(APU!$J$6:$J$305,APU!$A$6:$A$305,$A38,APU!$F$6:$F$305,"MATERIAL"))</f>
        <v/>
      </c>
      <c r="E38" s="23" t="str">
        <f aca="false">IF($A38="","",SUMIFS(APU!$J$6:$J$305,APU!$A$6:$A$305,$A38,APU!$F$6:$F$305,"MANO DE OBRA"))</f>
        <v/>
      </c>
      <c r="F38" s="23" t="str">
        <f aca="false">IF($A38="","",SUMIFS(APU!$J$6:$J$305,APU!$A$6:$A$305,$A38,APU!$F$6:$F$305,"EQUIPO"))</f>
        <v/>
      </c>
      <c r="G38" s="23" t="str">
        <f aca="false">IF($A38="","",SUMIFS(APU!$J$6:$J$305,APU!$A$6:$A$305,$A38,APU!$F$6:$F$305,"TRANSPORTE"))</f>
        <v/>
      </c>
      <c r="H38" s="23" t="str">
        <f aca="false">IF(A38="","",SUM(D38:G38))</f>
        <v/>
      </c>
    </row>
    <row r="39" customFormat="false" ht="15" hidden="false" customHeight="false" outlineLevel="0" collapsed="false">
      <c r="A39" s="17"/>
      <c r="B39" s="9" t="str">
        <f aca="false">IF(A39="","",IFERROR(INDEX(APU!$B$6:$B$305,MATCH(A39,APU!$A$6:$A$305,0)),"No existe"))</f>
        <v/>
      </c>
      <c r="C39" s="9" t="str">
        <f aca="false">IF(A39="","",IFERROR(INDEX(APU!$C$6:$C$305,MATCH(A39,APU!$A$6:$A$305,0)),""))</f>
        <v/>
      </c>
      <c r="D39" s="23" t="str">
        <f aca="false">IF($A39="","",SUMIFS(APU!$J$6:$J$305,APU!$A$6:$A$305,$A39,APU!$F$6:$F$305,"MATERIAL"))</f>
        <v/>
      </c>
      <c r="E39" s="23" t="str">
        <f aca="false">IF($A39="","",SUMIFS(APU!$J$6:$J$305,APU!$A$6:$A$305,$A39,APU!$F$6:$F$305,"MANO DE OBRA"))</f>
        <v/>
      </c>
      <c r="F39" s="23" t="str">
        <f aca="false">IF($A39="","",SUMIFS(APU!$J$6:$J$305,APU!$A$6:$A$305,$A39,APU!$F$6:$F$305,"EQUIPO"))</f>
        <v/>
      </c>
      <c r="G39" s="23" t="str">
        <f aca="false">IF($A39="","",SUMIFS(APU!$J$6:$J$305,APU!$A$6:$A$305,$A39,APU!$F$6:$F$305,"TRANSPORTE"))</f>
        <v/>
      </c>
      <c r="H39" s="23" t="str">
        <f aca="false">IF(A39="","",SUM(D39:G39))</f>
        <v/>
      </c>
    </row>
    <row r="40" customFormat="false" ht="15" hidden="false" customHeight="false" outlineLevel="0" collapsed="false">
      <c r="A40" s="17"/>
      <c r="B40" s="9" t="str">
        <f aca="false">IF(A40="","",IFERROR(INDEX(APU!$B$6:$B$305,MATCH(A40,APU!$A$6:$A$305,0)),"No existe"))</f>
        <v/>
      </c>
      <c r="C40" s="9" t="str">
        <f aca="false">IF(A40="","",IFERROR(INDEX(APU!$C$6:$C$305,MATCH(A40,APU!$A$6:$A$305,0)),""))</f>
        <v/>
      </c>
      <c r="D40" s="23" t="str">
        <f aca="false">IF($A40="","",SUMIFS(APU!$J$6:$J$305,APU!$A$6:$A$305,$A40,APU!$F$6:$F$305,"MATERIAL"))</f>
        <v/>
      </c>
      <c r="E40" s="23" t="str">
        <f aca="false">IF($A40="","",SUMIFS(APU!$J$6:$J$305,APU!$A$6:$A$305,$A40,APU!$F$6:$F$305,"MANO DE OBRA"))</f>
        <v/>
      </c>
      <c r="F40" s="23" t="str">
        <f aca="false">IF($A40="","",SUMIFS(APU!$J$6:$J$305,APU!$A$6:$A$305,$A40,APU!$F$6:$F$305,"EQUIPO"))</f>
        <v/>
      </c>
      <c r="G40" s="23" t="str">
        <f aca="false">IF($A40="","",SUMIFS(APU!$J$6:$J$305,APU!$A$6:$A$305,$A40,APU!$F$6:$F$305,"TRANSPORTE"))</f>
        <v/>
      </c>
      <c r="H40" s="23" t="str">
        <f aca="false">IF(A40="","",SUM(D40:G40))</f>
        <v/>
      </c>
    </row>
    <row r="41" customFormat="false" ht="15" hidden="false" customHeight="false" outlineLevel="0" collapsed="false">
      <c r="A41" s="17"/>
      <c r="B41" s="9" t="str">
        <f aca="false">IF(A41="","",IFERROR(INDEX(APU!$B$6:$B$305,MATCH(A41,APU!$A$6:$A$305,0)),"No existe"))</f>
        <v/>
      </c>
      <c r="C41" s="9" t="str">
        <f aca="false">IF(A41="","",IFERROR(INDEX(APU!$C$6:$C$305,MATCH(A41,APU!$A$6:$A$305,0)),""))</f>
        <v/>
      </c>
      <c r="D41" s="23" t="str">
        <f aca="false">IF($A41="","",SUMIFS(APU!$J$6:$J$305,APU!$A$6:$A$305,$A41,APU!$F$6:$F$305,"MATERIAL"))</f>
        <v/>
      </c>
      <c r="E41" s="23" t="str">
        <f aca="false">IF($A41="","",SUMIFS(APU!$J$6:$J$305,APU!$A$6:$A$305,$A41,APU!$F$6:$F$305,"MANO DE OBRA"))</f>
        <v/>
      </c>
      <c r="F41" s="23" t="str">
        <f aca="false">IF($A41="","",SUMIFS(APU!$J$6:$J$305,APU!$A$6:$A$305,$A41,APU!$F$6:$F$305,"EQUIPO"))</f>
        <v/>
      </c>
      <c r="G41" s="23" t="str">
        <f aca="false">IF($A41="","",SUMIFS(APU!$J$6:$J$305,APU!$A$6:$A$305,$A41,APU!$F$6:$F$305,"TRANSPORTE"))</f>
        <v/>
      </c>
      <c r="H41" s="23" t="str">
        <f aca="false">IF(A41="","",SUM(D41:G41))</f>
        <v/>
      </c>
    </row>
    <row r="42" customFormat="false" ht="15" hidden="false" customHeight="false" outlineLevel="0" collapsed="false">
      <c r="A42" s="17"/>
      <c r="B42" s="9" t="str">
        <f aca="false">IF(A42="","",IFERROR(INDEX(APU!$B$6:$B$305,MATCH(A42,APU!$A$6:$A$305,0)),"No existe"))</f>
        <v/>
      </c>
      <c r="C42" s="9" t="str">
        <f aca="false">IF(A42="","",IFERROR(INDEX(APU!$C$6:$C$305,MATCH(A42,APU!$A$6:$A$305,0)),""))</f>
        <v/>
      </c>
      <c r="D42" s="23" t="str">
        <f aca="false">IF($A42="","",SUMIFS(APU!$J$6:$J$305,APU!$A$6:$A$305,$A42,APU!$F$6:$F$305,"MATERIAL"))</f>
        <v/>
      </c>
      <c r="E42" s="23" t="str">
        <f aca="false">IF($A42="","",SUMIFS(APU!$J$6:$J$305,APU!$A$6:$A$305,$A42,APU!$F$6:$F$305,"MANO DE OBRA"))</f>
        <v/>
      </c>
      <c r="F42" s="23" t="str">
        <f aca="false">IF($A42="","",SUMIFS(APU!$J$6:$J$305,APU!$A$6:$A$305,$A42,APU!$F$6:$F$305,"EQUIPO"))</f>
        <v/>
      </c>
      <c r="G42" s="23" t="str">
        <f aca="false">IF($A42="","",SUMIFS(APU!$J$6:$J$305,APU!$A$6:$A$305,$A42,APU!$F$6:$F$305,"TRANSPORTE"))</f>
        <v/>
      </c>
      <c r="H42" s="23" t="str">
        <f aca="false">IF(A42="","",SUM(D42:G42))</f>
        <v/>
      </c>
    </row>
    <row r="43" customFormat="false" ht="15" hidden="false" customHeight="false" outlineLevel="0" collapsed="false">
      <c r="A43" s="17"/>
      <c r="B43" s="9" t="str">
        <f aca="false">IF(A43="","",IFERROR(INDEX(APU!$B$6:$B$305,MATCH(A43,APU!$A$6:$A$305,0)),"No existe"))</f>
        <v/>
      </c>
      <c r="C43" s="9" t="str">
        <f aca="false">IF(A43="","",IFERROR(INDEX(APU!$C$6:$C$305,MATCH(A43,APU!$A$6:$A$305,0)),""))</f>
        <v/>
      </c>
      <c r="D43" s="23" t="str">
        <f aca="false">IF($A43="","",SUMIFS(APU!$J$6:$J$305,APU!$A$6:$A$305,$A43,APU!$F$6:$F$305,"MATERIAL"))</f>
        <v/>
      </c>
      <c r="E43" s="23" t="str">
        <f aca="false">IF($A43="","",SUMIFS(APU!$J$6:$J$305,APU!$A$6:$A$305,$A43,APU!$F$6:$F$305,"MANO DE OBRA"))</f>
        <v/>
      </c>
      <c r="F43" s="23" t="str">
        <f aca="false">IF($A43="","",SUMIFS(APU!$J$6:$J$305,APU!$A$6:$A$305,$A43,APU!$F$6:$F$305,"EQUIPO"))</f>
        <v/>
      </c>
      <c r="G43" s="23" t="str">
        <f aca="false">IF($A43="","",SUMIFS(APU!$J$6:$J$305,APU!$A$6:$A$305,$A43,APU!$F$6:$F$305,"TRANSPORTE"))</f>
        <v/>
      </c>
      <c r="H43" s="23" t="str">
        <f aca="false">IF(A43="","",SUM(D43:G43))</f>
        <v/>
      </c>
    </row>
    <row r="44" customFormat="false" ht="15" hidden="false" customHeight="false" outlineLevel="0" collapsed="false">
      <c r="A44" s="17"/>
      <c r="B44" s="9" t="str">
        <f aca="false">IF(A44="","",IFERROR(INDEX(APU!$B$6:$B$305,MATCH(A44,APU!$A$6:$A$305,0)),"No existe"))</f>
        <v/>
      </c>
      <c r="C44" s="9" t="str">
        <f aca="false">IF(A44="","",IFERROR(INDEX(APU!$C$6:$C$305,MATCH(A44,APU!$A$6:$A$305,0)),""))</f>
        <v/>
      </c>
      <c r="D44" s="23" t="str">
        <f aca="false">IF($A44="","",SUMIFS(APU!$J$6:$J$305,APU!$A$6:$A$305,$A44,APU!$F$6:$F$305,"MATERIAL"))</f>
        <v/>
      </c>
      <c r="E44" s="23" t="str">
        <f aca="false">IF($A44="","",SUMIFS(APU!$J$6:$J$305,APU!$A$6:$A$305,$A44,APU!$F$6:$F$305,"MANO DE OBRA"))</f>
        <v/>
      </c>
      <c r="F44" s="23" t="str">
        <f aca="false">IF($A44="","",SUMIFS(APU!$J$6:$J$305,APU!$A$6:$A$305,$A44,APU!$F$6:$F$305,"EQUIPO"))</f>
        <v/>
      </c>
      <c r="G44" s="23" t="str">
        <f aca="false">IF($A44="","",SUMIFS(APU!$J$6:$J$305,APU!$A$6:$A$305,$A44,APU!$F$6:$F$305,"TRANSPORTE"))</f>
        <v/>
      </c>
      <c r="H44" s="23" t="str">
        <f aca="false">IF(A44="","",SUM(D44:G44))</f>
        <v/>
      </c>
    </row>
    <row r="45" customFormat="false" ht="15" hidden="false" customHeight="false" outlineLevel="0" collapsed="false">
      <c r="A45" s="17"/>
      <c r="B45" s="9" t="str">
        <f aca="false">IF(A45="","",IFERROR(INDEX(APU!$B$6:$B$305,MATCH(A45,APU!$A$6:$A$305,0)),"No existe"))</f>
        <v/>
      </c>
      <c r="C45" s="9" t="str">
        <f aca="false">IF(A45="","",IFERROR(INDEX(APU!$C$6:$C$305,MATCH(A45,APU!$A$6:$A$305,0)),""))</f>
        <v/>
      </c>
      <c r="D45" s="23" t="str">
        <f aca="false">IF($A45="","",SUMIFS(APU!$J$6:$J$305,APU!$A$6:$A$305,$A45,APU!$F$6:$F$305,"MATERIAL"))</f>
        <v/>
      </c>
      <c r="E45" s="23" t="str">
        <f aca="false">IF($A45="","",SUMIFS(APU!$J$6:$J$305,APU!$A$6:$A$305,$A45,APU!$F$6:$F$305,"MANO DE OBRA"))</f>
        <v/>
      </c>
      <c r="F45" s="23" t="str">
        <f aca="false">IF($A45="","",SUMIFS(APU!$J$6:$J$305,APU!$A$6:$A$305,$A45,APU!$F$6:$F$305,"EQUIPO"))</f>
        <v/>
      </c>
      <c r="G45" s="23" t="str">
        <f aca="false">IF($A45="","",SUMIFS(APU!$J$6:$J$305,APU!$A$6:$A$305,$A45,APU!$F$6:$F$305,"TRANSPORTE"))</f>
        <v/>
      </c>
      <c r="H45" s="23" t="str">
        <f aca="false">IF(A45="","",SUM(D45:G45))</f>
        <v/>
      </c>
    </row>
    <row r="46" customFormat="false" ht="15" hidden="false" customHeight="false" outlineLevel="0" collapsed="false">
      <c r="A46" s="17"/>
      <c r="B46" s="9" t="str">
        <f aca="false">IF(A46="","",IFERROR(INDEX(APU!$B$6:$B$305,MATCH(A46,APU!$A$6:$A$305,0)),"No existe"))</f>
        <v/>
      </c>
      <c r="C46" s="9" t="str">
        <f aca="false">IF(A46="","",IFERROR(INDEX(APU!$C$6:$C$305,MATCH(A46,APU!$A$6:$A$305,0)),""))</f>
        <v/>
      </c>
      <c r="D46" s="23" t="str">
        <f aca="false">IF($A46="","",SUMIFS(APU!$J$6:$J$305,APU!$A$6:$A$305,$A46,APU!$F$6:$F$305,"MATERIAL"))</f>
        <v/>
      </c>
      <c r="E46" s="23" t="str">
        <f aca="false">IF($A46="","",SUMIFS(APU!$J$6:$J$305,APU!$A$6:$A$305,$A46,APU!$F$6:$F$305,"MANO DE OBRA"))</f>
        <v/>
      </c>
      <c r="F46" s="23" t="str">
        <f aca="false">IF($A46="","",SUMIFS(APU!$J$6:$J$305,APU!$A$6:$A$305,$A46,APU!$F$6:$F$305,"EQUIPO"))</f>
        <v/>
      </c>
      <c r="G46" s="23" t="str">
        <f aca="false">IF($A46="","",SUMIFS(APU!$J$6:$J$305,APU!$A$6:$A$305,$A46,APU!$F$6:$F$305,"TRANSPORTE"))</f>
        <v/>
      </c>
      <c r="H46" s="23" t="str">
        <f aca="false">IF(A46="","",SUM(D46:G46))</f>
        <v/>
      </c>
    </row>
    <row r="47" customFormat="false" ht="15" hidden="false" customHeight="false" outlineLevel="0" collapsed="false">
      <c r="A47" s="17"/>
      <c r="B47" s="9" t="str">
        <f aca="false">IF(A47="","",IFERROR(INDEX(APU!$B$6:$B$305,MATCH(A47,APU!$A$6:$A$305,0)),"No existe"))</f>
        <v/>
      </c>
      <c r="C47" s="9" t="str">
        <f aca="false">IF(A47="","",IFERROR(INDEX(APU!$C$6:$C$305,MATCH(A47,APU!$A$6:$A$305,0)),""))</f>
        <v/>
      </c>
      <c r="D47" s="23" t="str">
        <f aca="false">IF($A47="","",SUMIFS(APU!$J$6:$J$305,APU!$A$6:$A$305,$A47,APU!$F$6:$F$305,"MATERIAL"))</f>
        <v/>
      </c>
      <c r="E47" s="23" t="str">
        <f aca="false">IF($A47="","",SUMIFS(APU!$J$6:$J$305,APU!$A$6:$A$305,$A47,APU!$F$6:$F$305,"MANO DE OBRA"))</f>
        <v/>
      </c>
      <c r="F47" s="23" t="str">
        <f aca="false">IF($A47="","",SUMIFS(APU!$J$6:$J$305,APU!$A$6:$A$305,$A47,APU!$F$6:$F$305,"EQUIPO"))</f>
        <v/>
      </c>
      <c r="G47" s="23" t="str">
        <f aca="false">IF($A47="","",SUMIFS(APU!$J$6:$J$305,APU!$A$6:$A$305,$A47,APU!$F$6:$F$305,"TRANSPORTE"))</f>
        <v/>
      </c>
      <c r="H47" s="23" t="str">
        <f aca="false">IF(A47="","",SUM(D47:G47))</f>
        <v/>
      </c>
    </row>
    <row r="48" customFormat="false" ht="15" hidden="false" customHeight="false" outlineLevel="0" collapsed="false">
      <c r="A48" s="17"/>
      <c r="B48" s="9" t="str">
        <f aca="false">IF(A48="","",IFERROR(INDEX(APU!$B$6:$B$305,MATCH(A48,APU!$A$6:$A$305,0)),"No existe"))</f>
        <v/>
      </c>
      <c r="C48" s="9" t="str">
        <f aca="false">IF(A48="","",IFERROR(INDEX(APU!$C$6:$C$305,MATCH(A48,APU!$A$6:$A$305,0)),""))</f>
        <v/>
      </c>
      <c r="D48" s="23" t="str">
        <f aca="false">IF($A48="","",SUMIFS(APU!$J$6:$J$305,APU!$A$6:$A$305,$A48,APU!$F$6:$F$305,"MATERIAL"))</f>
        <v/>
      </c>
      <c r="E48" s="23" t="str">
        <f aca="false">IF($A48="","",SUMIFS(APU!$J$6:$J$305,APU!$A$6:$A$305,$A48,APU!$F$6:$F$305,"MANO DE OBRA"))</f>
        <v/>
      </c>
      <c r="F48" s="23" t="str">
        <f aca="false">IF($A48="","",SUMIFS(APU!$J$6:$J$305,APU!$A$6:$A$305,$A48,APU!$F$6:$F$305,"EQUIPO"))</f>
        <v/>
      </c>
      <c r="G48" s="23" t="str">
        <f aca="false">IF($A48="","",SUMIFS(APU!$J$6:$J$305,APU!$A$6:$A$305,$A48,APU!$F$6:$F$305,"TRANSPORTE"))</f>
        <v/>
      </c>
      <c r="H48" s="23" t="str">
        <f aca="false">IF(A48="","",SUM(D48:G48))</f>
        <v/>
      </c>
    </row>
    <row r="49" customFormat="false" ht="15" hidden="false" customHeight="false" outlineLevel="0" collapsed="false">
      <c r="A49" s="17"/>
      <c r="B49" s="9" t="str">
        <f aca="false">IF(A49="","",IFERROR(INDEX(APU!$B$6:$B$305,MATCH(A49,APU!$A$6:$A$305,0)),"No existe"))</f>
        <v/>
      </c>
      <c r="C49" s="9" t="str">
        <f aca="false">IF(A49="","",IFERROR(INDEX(APU!$C$6:$C$305,MATCH(A49,APU!$A$6:$A$305,0)),""))</f>
        <v/>
      </c>
      <c r="D49" s="23" t="str">
        <f aca="false">IF($A49="","",SUMIFS(APU!$J$6:$J$305,APU!$A$6:$A$305,$A49,APU!$F$6:$F$305,"MATERIAL"))</f>
        <v/>
      </c>
      <c r="E49" s="23" t="str">
        <f aca="false">IF($A49="","",SUMIFS(APU!$J$6:$J$305,APU!$A$6:$A$305,$A49,APU!$F$6:$F$305,"MANO DE OBRA"))</f>
        <v/>
      </c>
      <c r="F49" s="23" t="str">
        <f aca="false">IF($A49="","",SUMIFS(APU!$J$6:$J$305,APU!$A$6:$A$305,$A49,APU!$F$6:$F$305,"EQUIPO"))</f>
        <v/>
      </c>
      <c r="G49" s="23" t="str">
        <f aca="false">IF($A49="","",SUMIFS(APU!$J$6:$J$305,APU!$A$6:$A$305,$A49,APU!$F$6:$F$305,"TRANSPORTE"))</f>
        <v/>
      </c>
      <c r="H49" s="23" t="str">
        <f aca="false">IF(A49="","",SUM(D49:G49))</f>
        <v/>
      </c>
    </row>
    <row r="50" customFormat="false" ht="15" hidden="false" customHeight="false" outlineLevel="0" collapsed="false">
      <c r="A50" s="17"/>
      <c r="B50" s="9" t="str">
        <f aca="false">IF(A50="","",IFERROR(INDEX(APU!$B$6:$B$305,MATCH(A50,APU!$A$6:$A$305,0)),"No existe"))</f>
        <v/>
      </c>
      <c r="C50" s="9" t="str">
        <f aca="false">IF(A50="","",IFERROR(INDEX(APU!$C$6:$C$305,MATCH(A50,APU!$A$6:$A$305,0)),""))</f>
        <v/>
      </c>
      <c r="D50" s="23" t="str">
        <f aca="false">IF($A50="","",SUMIFS(APU!$J$6:$J$305,APU!$A$6:$A$305,$A50,APU!$F$6:$F$305,"MATERIAL"))</f>
        <v/>
      </c>
      <c r="E50" s="23" t="str">
        <f aca="false">IF($A50="","",SUMIFS(APU!$J$6:$J$305,APU!$A$6:$A$305,$A50,APU!$F$6:$F$305,"MANO DE OBRA"))</f>
        <v/>
      </c>
      <c r="F50" s="23" t="str">
        <f aca="false">IF($A50="","",SUMIFS(APU!$J$6:$J$305,APU!$A$6:$A$305,$A50,APU!$F$6:$F$305,"EQUIPO"))</f>
        <v/>
      </c>
      <c r="G50" s="23" t="str">
        <f aca="false">IF($A50="","",SUMIFS(APU!$J$6:$J$305,APU!$A$6:$A$305,$A50,APU!$F$6:$F$305,"TRANSPORTE"))</f>
        <v/>
      </c>
      <c r="H50" s="23" t="str">
        <f aca="false">IF(A50="","",SUM(D50:G50))</f>
        <v/>
      </c>
    </row>
    <row r="51" customFormat="false" ht="15" hidden="false" customHeight="false" outlineLevel="0" collapsed="false">
      <c r="A51" s="17"/>
      <c r="B51" s="9" t="str">
        <f aca="false">IF(A51="","",IFERROR(INDEX(APU!$B$6:$B$305,MATCH(A51,APU!$A$6:$A$305,0)),"No existe"))</f>
        <v/>
      </c>
      <c r="C51" s="9" t="str">
        <f aca="false">IF(A51="","",IFERROR(INDEX(APU!$C$6:$C$305,MATCH(A51,APU!$A$6:$A$305,0)),""))</f>
        <v/>
      </c>
      <c r="D51" s="23" t="str">
        <f aca="false">IF($A51="","",SUMIFS(APU!$J$6:$J$305,APU!$A$6:$A$305,$A51,APU!$F$6:$F$305,"MATERIAL"))</f>
        <v/>
      </c>
      <c r="E51" s="23" t="str">
        <f aca="false">IF($A51="","",SUMIFS(APU!$J$6:$J$305,APU!$A$6:$A$305,$A51,APU!$F$6:$F$305,"MANO DE OBRA"))</f>
        <v/>
      </c>
      <c r="F51" s="23" t="str">
        <f aca="false">IF($A51="","",SUMIFS(APU!$J$6:$J$305,APU!$A$6:$A$305,$A51,APU!$F$6:$F$305,"EQUIPO"))</f>
        <v/>
      </c>
      <c r="G51" s="23" t="str">
        <f aca="false">IF($A51="","",SUMIFS(APU!$J$6:$J$305,APU!$A$6:$A$305,$A51,APU!$F$6:$F$305,"TRANSPORTE"))</f>
        <v/>
      </c>
      <c r="H51" s="23" t="str">
        <f aca="false">IF(A51="","",SUM(D51:G51))</f>
        <v/>
      </c>
    </row>
    <row r="52" customFormat="false" ht="15" hidden="false" customHeight="false" outlineLevel="0" collapsed="false">
      <c r="A52" s="17"/>
      <c r="B52" s="9" t="str">
        <f aca="false">IF(A52="","",IFERROR(INDEX(APU!$B$6:$B$305,MATCH(A52,APU!$A$6:$A$305,0)),"No existe"))</f>
        <v/>
      </c>
      <c r="C52" s="9" t="str">
        <f aca="false">IF(A52="","",IFERROR(INDEX(APU!$C$6:$C$305,MATCH(A52,APU!$A$6:$A$305,0)),""))</f>
        <v/>
      </c>
      <c r="D52" s="23" t="str">
        <f aca="false">IF($A52="","",SUMIFS(APU!$J$6:$J$305,APU!$A$6:$A$305,$A52,APU!$F$6:$F$305,"MATERIAL"))</f>
        <v/>
      </c>
      <c r="E52" s="23" t="str">
        <f aca="false">IF($A52="","",SUMIFS(APU!$J$6:$J$305,APU!$A$6:$A$305,$A52,APU!$F$6:$F$305,"MANO DE OBRA"))</f>
        <v/>
      </c>
      <c r="F52" s="23" t="str">
        <f aca="false">IF($A52="","",SUMIFS(APU!$J$6:$J$305,APU!$A$6:$A$305,$A52,APU!$F$6:$F$305,"EQUIPO"))</f>
        <v/>
      </c>
      <c r="G52" s="23" t="str">
        <f aca="false">IF($A52="","",SUMIFS(APU!$J$6:$J$305,APU!$A$6:$A$305,$A52,APU!$F$6:$F$305,"TRANSPORTE"))</f>
        <v/>
      </c>
      <c r="H52" s="23" t="str">
        <f aca="false">IF(A52="","",SUM(D52:G52))</f>
        <v/>
      </c>
    </row>
    <row r="53" customFormat="false" ht="15" hidden="false" customHeight="false" outlineLevel="0" collapsed="false">
      <c r="A53" s="17"/>
      <c r="B53" s="9" t="str">
        <f aca="false">IF(A53="","",IFERROR(INDEX(APU!$B$6:$B$305,MATCH(A53,APU!$A$6:$A$305,0)),"No existe"))</f>
        <v/>
      </c>
      <c r="C53" s="9" t="str">
        <f aca="false">IF(A53="","",IFERROR(INDEX(APU!$C$6:$C$305,MATCH(A53,APU!$A$6:$A$305,0)),""))</f>
        <v/>
      </c>
      <c r="D53" s="23" t="str">
        <f aca="false">IF($A53="","",SUMIFS(APU!$J$6:$J$305,APU!$A$6:$A$305,$A53,APU!$F$6:$F$305,"MATERIAL"))</f>
        <v/>
      </c>
      <c r="E53" s="23" t="str">
        <f aca="false">IF($A53="","",SUMIFS(APU!$J$6:$J$305,APU!$A$6:$A$305,$A53,APU!$F$6:$F$305,"MANO DE OBRA"))</f>
        <v/>
      </c>
      <c r="F53" s="23" t="str">
        <f aca="false">IF($A53="","",SUMIFS(APU!$J$6:$J$305,APU!$A$6:$A$305,$A53,APU!$F$6:$F$305,"EQUIPO"))</f>
        <v/>
      </c>
      <c r="G53" s="23" t="str">
        <f aca="false">IF($A53="","",SUMIFS(APU!$J$6:$J$305,APU!$A$6:$A$305,$A53,APU!$F$6:$F$305,"TRANSPORTE"))</f>
        <v/>
      </c>
      <c r="H53" s="23" t="str">
        <f aca="false">IF(A53="","",SUM(D53:G53))</f>
        <v/>
      </c>
    </row>
    <row r="54" customFormat="false" ht="15" hidden="false" customHeight="false" outlineLevel="0" collapsed="false">
      <c r="A54" s="17"/>
      <c r="B54" s="9" t="str">
        <f aca="false">IF(A54="","",IFERROR(INDEX(APU!$B$6:$B$305,MATCH(A54,APU!$A$6:$A$305,0)),"No existe"))</f>
        <v/>
      </c>
      <c r="C54" s="9" t="str">
        <f aca="false">IF(A54="","",IFERROR(INDEX(APU!$C$6:$C$305,MATCH(A54,APU!$A$6:$A$305,0)),""))</f>
        <v/>
      </c>
      <c r="D54" s="23" t="str">
        <f aca="false">IF($A54="","",SUMIFS(APU!$J$6:$J$305,APU!$A$6:$A$305,$A54,APU!$F$6:$F$305,"MATERIAL"))</f>
        <v/>
      </c>
      <c r="E54" s="23" t="str">
        <f aca="false">IF($A54="","",SUMIFS(APU!$J$6:$J$305,APU!$A$6:$A$305,$A54,APU!$F$6:$F$305,"MANO DE OBRA"))</f>
        <v/>
      </c>
      <c r="F54" s="23" t="str">
        <f aca="false">IF($A54="","",SUMIFS(APU!$J$6:$J$305,APU!$A$6:$A$305,$A54,APU!$F$6:$F$305,"EQUIPO"))</f>
        <v/>
      </c>
      <c r="G54" s="23" t="str">
        <f aca="false">IF($A54="","",SUMIFS(APU!$J$6:$J$305,APU!$A$6:$A$305,$A54,APU!$F$6:$F$305,"TRANSPORTE"))</f>
        <v/>
      </c>
      <c r="H54" s="23" t="str">
        <f aca="false">IF(A54="","",SUM(D54:G54))</f>
        <v/>
      </c>
    </row>
    <row r="55" customFormat="false" ht="15" hidden="false" customHeight="false" outlineLevel="0" collapsed="false">
      <c r="A55" s="17"/>
      <c r="B55" s="9" t="str">
        <f aca="false">IF(A55="","",IFERROR(INDEX(APU!$B$6:$B$305,MATCH(A55,APU!$A$6:$A$305,0)),"No existe"))</f>
        <v/>
      </c>
      <c r="C55" s="9" t="str">
        <f aca="false">IF(A55="","",IFERROR(INDEX(APU!$C$6:$C$305,MATCH(A55,APU!$A$6:$A$305,0)),""))</f>
        <v/>
      </c>
      <c r="D55" s="23" t="str">
        <f aca="false">IF($A55="","",SUMIFS(APU!$J$6:$J$305,APU!$A$6:$A$305,$A55,APU!$F$6:$F$305,"MATERIAL"))</f>
        <v/>
      </c>
      <c r="E55" s="23" t="str">
        <f aca="false">IF($A55="","",SUMIFS(APU!$J$6:$J$305,APU!$A$6:$A$305,$A55,APU!$F$6:$F$305,"MANO DE OBRA"))</f>
        <v/>
      </c>
      <c r="F55" s="23" t="str">
        <f aca="false">IF($A55="","",SUMIFS(APU!$J$6:$J$305,APU!$A$6:$A$305,$A55,APU!$F$6:$F$305,"EQUIPO"))</f>
        <v/>
      </c>
      <c r="G55" s="23" t="str">
        <f aca="false">IF($A55="","",SUMIFS(APU!$J$6:$J$305,APU!$A$6:$A$305,$A55,APU!$F$6:$F$305,"TRANSPORTE"))</f>
        <v/>
      </c>
      <c r="H55" s="23" t="str">
        <f aca="false">IF(A55="","",SUM(D55:G55))</f>
        <v/>
      </c>
    </row>
    <row r="56" customFormat="false" ht="15" hidden="false" customHeight="false" outlineLevel="0" collapsed="false">
      <c r="A56" s="17"/>
      <c r="B56" s="9" t="str">
        <f aca="false">IF(A56="","",IFERROR(INDEX(APU!$B$6:$B$305,MATCH(A56,APU!$A$6:$A$305,0)),"No existe"))</f>
        <v/>
      </c>
      <c r="C56" s="9" t="str">
        <f aca="false">IF(A56="","",IFERROR(INDEX(APU!$C$6:$C$305,MATCH(A56,APU!$A$6:$A$305,0)),""))</f>
        <v/>
      </c>
      <c r="D56" s="23" t="str">
        <f aca="false">IF($A56="","",SUMIFS(APU!$J$6:$J$305,APU!$A$6:$A$305,$A56,APU!$F$6:$F$305,"MATERIAL"))</f>
        <v/>
      </c>
      <c r="E56" s="23" t="str">
        <f aca="false">IF($A56="","",SUMIFS(APU!$J$6:$J$305,APU!$A$6:$A$305,$A56,APU!$F$6:$F$305,"MANO DE OBRA"))</f>
        <v/>
      </c>
      <c r="F56" s="23" t="str">
        <f aca="false">IF($A56="","",SUMIFS(APU!$J$6:$J$305,APU!$A$6:$A$305,$A56,APU!$F$6:$F$305,"EQUIPO"))</f>
        <v/>
      </c>
      <c r="G56" s="23" t="str">
        <f aca="false">IF($A56="","",SUMIFS(APU!$J$6:$J$305,APU!$A$6:$A$305,$A56,APU!$F$6:$F$305,"TRANSPORTE"))</f>
        <v/>
      </c>
      <c r="H56" s="23" t="str">
        <f aca="false">IF(A56="","",SUM(D56:G56))</f>
        <v/>
      </c>
    </row>
    <row r="57" customFormat="false" ht="15" hidden="false" customHeight="false" outlineLevel="0" collapsed="false">
      <c r="A57" s="17"/>
      <c r="B57" s="9" t="str">
        <f aca="false">IF(A57="","",IFERROR(INDEX(APU!$B$6:$B$305,MATCH(A57,APU!$A$6:$A$305,0)),"No existe"))</f>
        <v/>
      </c>
      <c r="C57" s="9" t="str">
        <f aca="false">IF(A57="","",IFERROR(INDEX(APU!$C$6:$C$305,MATCH(A57,APU!$A$6:$A$305,0)),""))</f>
        <v/>
      </c>
      <c r="D57" s="23" t="str">
        <f aca="false">IF($A57="","",SUMIFS(APU!$J$6:$J$305,APU!$A$6:$A$305,$A57,APU!$F$6:$F$305,"MATERIAL"))</f>
        <v/>
      </c>
      <c r="E57" s="23" t="str">
        <f aca="false">IF($A57="","",SUMIFS(APU!$J$6:$J$305,APU!$A$6:$A$305,$A57,APU!$F$6:$F$305,"MANO DE OBRA"))</f>
        <v/>
      </c>
      <c r="F57" s="23" t="str">
        <f aca="false">IF($A57="","",SUMIFS(APU!$J$6:$J$305,APU!$A$6:$A$305,$A57,APU!$F$6:$F$305,"EQUIPO"))</f>
        <v/>
      </c>
      <c r="G57" s="23" t="str">
        <f aca="false">IF($A57="","",SUMIFS(APU!$J$6:$J$305,APU!$A$6:$A$305,$A57,APU!$F$6:$F$305,"TRANSPORTE"))</f>
        <v/>
      </c>
      <c r="H57" s="23" t="str">
        <f aca="false">IF(A57="","",SUM(D57:G57))</f>
        <v/>
      </c>
    </row>
    <row r="58" customFormat="false" ht="15" hidden="false" customHeight="false" outlineLevel="0" collapsed="false">
      <c r="A58" s="17"/>
      <c r="B58" s="9" t="str">
        <f aca="false">IF(A58="","",IFERROR(INDEX(APU!$B$6:$B$305,MATCH(A58,APU!$A$6:$A$305,0)),"No existe"))</f>
        <v/>
      </c>
      <c r="C58" s="9" t="str">
        <f aca="false">IF(A58="","",IFERROR(INDEX(APU!$C$6:$C$305,MATCH(A58,APU!$A$6:$A$305,0)),""))</f>
        <v/>
      </c>
      <c r="D58" s="23" t="str">
        <f aca="false">IF($A58="","",SUMIFS(APU!$J$6:$J$305,APU!$A$6:$A$305,$A58,APU!$F$6:$F$305,"MATERIAL"))</f>
        <v/>
      </c>
      <c r="E58" s="23" t="str">
        <f aca="false">IF($A58="","",SUMIFS(APU!$J$6:$J$305,APU!$A$6:$A$305,$A58,APU!$F$6:$F$305,"MANO DE OBRA"))</f>
        <v/>
      </c>
      <c r="F58" s="23" t="str">
        <f aca="false">IF($A58="","",SUMIFS(APU!$J$6:$J$305,APU!$A$6:$A$305,$A58,APU!$F$6:$F$305,"EQUIPO"))</f>
        <v/>
      </c>
      <c r="G58" s="23" t="str">
        <f aca="false">IF($A58="","",SUMIFS(APU!$J$6:$J$305,APU!$A$6:$A$305,$A58,APU!$F$6:$F$305,"TRANSPORTE"))</f>
        <v/>
      </c>
      <c r="H58" s="23" t="str">
        <f aca="false">IF(A58="","",SUM(D58:G58))</f>
        <v/>
      </c>
    </row>
    <row r="59" customFormat="false" ht="15" hidden="false" customHeight="false" outlineLevel="0" collapsed="false">
      <c r="A59" s="17"/>
      <c r="B59" s="9" t="str">
        <f aca="false">IF(A59="","",IFERROR(INDEX(APU!$B$6:$B$305,MATCH(A59,APU!$A$6:$A$305,0)),"No existe"))</f>
        <v/>
      </c>
      <c r="C59" s="9" t="str">
        <f aca="false">IF(A59="","",IFERROR(INDEX(APU!$C$6:$C$305,MATCH(A59,APU!$A$6:$A$305,0)),""))</f>
        <v/>
      </c>
      <c r="D59" s="23" t="str">
        <f aca="false">IF($A59="","",SUMIFS(APU!$J$6:$J$305,APU!$A$6:$A$305,$A59,APU!$F$6:$F$305,"MATERIAL"))</f>
        <v/>
      </c>
      <c r="E59" s="23" t="str">
        <f aca="false">IF($A59="","",SUMIFS(APU!$J$6:$J$305,APU!$A$6:$A$305,$A59,APU!$F$6:$F$305,"MANO DE OBRA"))</f>
        <v/>
      </c>
      <c r="F59" s="23" t="str">
        <f aca="false">IF($A59="","",SUMIFS(APU!$J$6:$J$305,APU!$A$6:$A$305,$A59,APU!$F$6:$F$305,"EQUIPO"))</f>
        <v/>
      </c>
      <c r="G59" s="23" t="str">
        <f aca="false">IF($A59="","",SUMIFS(APU!$J$6:$J$305,APU!$A$6:$A$305,$A59,APU!$F$6:$F$305,"TRANSPORTE"))</f>
        <v/>
      </c>
      <c r="H59" s="23" t="str">
        <f aca="false">IF(A59="","",SUM(D59:G59))</f>
        <v/>
      </c>
    </row>
    <row r="60" customFormat="false" ht="15" hidden="false" customHeight="false" outlineLevel="0" collapsed="false">
      <c r="A60" s="17"/>
      <c r="B60" s="9" t="str">
        <f aca="false">IF(A60="","",IFERROR(INDEX(APU!$B$6:$B$305,MATCH(A60,APU!$A$6:$A$305,0)),"No existe"))</f>
        <v/>
      </c>
      <c r="C60" s="9" t="str">
        <f aca="false">IF(A60="","",IFERROR(INDEX(APU!$C$6:$C$305,MATCH(A60,APU!$A$6:$A$305,0)),""))</f>
        <v/>
      </c>
      <c r="D60" s="23" t="str">
        <f aca="false">IF($A60="","",SUMIFS(APU!$J$6:$J$305,APU!$A$6:$A$305,$A60,APU!$F$6:$F$305,"MATERIAL"))</f>
        <v/>
      </c>
      <c r="E60" s="23" t="str">
        <f aca="false">IF($A60="","",SUMIFS(APU!$J$6:$J$305,APU!$A$6:$A$305,$A60,APU!$F$6:$F$305,"MANO DE OBRA"))</f>
        <v/>
      </c>
      <c r="F60" s="23" t="str">
        <f aca="false">IF($A60="","",SUMIFS(APU!$J$6:$J$305,APU!$A$6:$A$305,$A60,APU!$F$6:$F$305,"EQUIPO"))</f>
        <v/>
      </c>
      <c r="G60" s="23" t="str">
        <f aca="false">IF($A60="","",SUMIFS(APU!$J$6:$J$305,APU!$A$6:$A$305,$A60,APU!$F$6:$F$305,"TRANSPORTE"))</f>
        <v/>
      </c>
      <c r="H60" s="23" t="str">
        <f aca="false">IF(A60="","",SUM(D60:G60))</f>
        <v/>
      </c>
    </row>
    <row r="61" customFormat="false" ht="15" hidden="false" customHeight="false" outlineLevel="0" collapsed="false">
      <c r="A61" s="17"/>
      <c r="B61" s="9" t="str">
        <f aca="false">IF(A61="","",IFERROR(INDEX(APU!$B$6:$B$305,MATCH(A61,APU!$A$6:$A$305,0)),"No existe"))</f>
        <v/>
      </c>
      <c r="C61" s="9" t="str">
        <f aca="false">IF(A61="","",IFERROR(INDEX(APU!$C$6:$C$305,MATCH(A61,APU!$A$6:$A$305,0)),""))</f>
        <v/>
      </c>
      <c r="D61" s="23" t="str">
        <f aca="false">IF($A61="","",SUMIFS(APU!$J$6:$J$305,APU!$A$6:$A$305,$A61,APU!$F$6:$F$305,"MATERIAL"))</f>
        <v/>
      </c>
      <c r="E61" s="23" t="str">
        <f aca="false">IF($A61="","",SUMIFS(APU!$J$6:$J$305,APU!$A$6:$A$305,$A61,APU!$F$6:$F$305,"MANO DE OBRA"))</f>
        <v/>
      </c>
      <c r="F61" s="23" t="str">
        <f aca="false">IF($A61="","",SUMIFS(APU!$J$6:$J$305,APU!$A$6:$A$305,$A61,APU!$F$6:$F$305,"EQUIPO"))</f>
        <v/>
      </c>
      <c r="G61" s="23" t="str">
        <f aca="false">IF($A61="","",SUMIFS(APU!$J$6:$J$305,APU!$A$6:$A$305,$A61,APU!$F$6:$F$305,"TRANSPORTE"))</f>
        <v/>
      </c>
      <c r="H61" s="23" t="str">
        <f aca="false">IF(A61="","",SUM(D61:G61))</f>
        <v/>
      </c>
    </row>
    <row r="62" customFormat="false" ht="15" hidden="false" customHeight="false" outlineLevel="0" collapsed="false">
      <c r="A62" s="17"/>
      <c r="B62" s="9" t="str">
        <f aca="false">IF(A62="","",IFERROR(INDEX(APU!$B$6:$B$305,MATCH(A62,APU!$A$6:$A$305,0)),"No existe"))</f>
        <v/>
      </c>
      <c r="C62" s="9" t="str">
        <f aca="false">IF(A62="","",IFERROR(INDEX(APU!$C$6:$C$305,MATCH(A62,APU!$A$6:$A$305,0)),""))</f>
        <v/>
      </c>
      <c r="D62" s="23" t="str">
        <f aca="false">IF($A62="","",SUMIFS(APU!$J$6:$J$305,APU!$A$6:$A$305,$A62,APU!$F$6:$F$305,"MATERIAL"))</f>
        <v/>
      </c>
      <c r="E62" s="23" t="str">
        <f aca="false">IF($A62="","",SUMIFS(APU!$J$6:$J$305,APU!$A$6:$A$305,$A62,APU!$F$6:$F$305,"MANO DE OBRA"))</f>
        <v/>
      </c>
      <c r="F62" s="23" t="str">
        <f aca="false">IF($A62="","",SUMIFS(APU!$J$6:$J$305,APU!$A$6:$A$305,$A62,APU!$F$6:$F$305,"EQUIPO"))</f>
        <v/>
      </c>
      <c r="G62" s="23" t="str">
        <f aca="false">IF($A62="","",SUMIFS(APU!$J$6:$J$305,APU!$A$6:$A$305,$A62,APU!$F$6:$F$305,"TRANSPORTE"))</f>
        <v/>
      </c>
      <c r="H62" s="23" t="str">
        <f aca="false">IF(A62="","",SUM(D62:G62))</f>
        <v/>
      </c>
    </row>
    <row r="63" customFormat="false" ht="15" hidden="false" customHeight="false" outlineLevel="0" collapsed="false">
      <c r="A63" s="17"/>
      <c r="B63" s="9" t="str">
        <f aca="false">IF(A63="","",IFERROR(INDEX(APU!$B$6:$B$305,MATCH(A63,APU!$A$6:$A$305,0)),"No existe"))</f>
        <v/>
      </c>
      <c r="C63" s="9" t="str">
        <f aca="false">IF(A63="","",IFERROR(INDEX(APU!$C$6:$C$305,MATCH(A63,APU!$A$6:$A$305,0)),""))</f>
        <v/>
      </c>
      <c r="D63" s="23" t="str">
        <f aca="false">IF($A63="","",SUMIFS(APU!$J$6:$J$305,APU!$A$6:$A$305,$A63,APU!$F$6:$F$305,"MATERIAL"))</f>
        <v/>
      </c>
      <c r="E63" s="23" t="str">
        <f aca="false">IF($A63="","",SUMIFS(APU!$J$6:$J$305,APU!$A$6:$A$305,$A63,APU!$F$6:$F$305,"MANO DE OBRA"))</f>
        <v/>
      </c>
      <c r="F63" s="23" t="str">
        <f aca="false">IF($A63="","",SUMIFS(APU!$J$6:$J$305,APU!$A$6:$A$305,$A63,APU!$F$6:$F$305,"EQUIPO"))</f>
        <v/>
      </c>
      <c r="G63" s="23" t="str">
        <f aca="false">IF($A63="","",SUMIFS(APU!$J$6:$J$305,APU!$A$6:$A$305,$A63,APU!$F$6:$F$305,"TRANSPORTE"))</f>
        <v/>
      </c>
      <c r="H63" s="23" t="str">
        <f aca="false">IF(A63="","",SUM(D63:G63))</f>
        <v/>
      </c>
    </row>
    <row r="64" customFormat="false" ht="15" hidden="false" customHeight="false" outlineLevel="0" collapsed="false">
      <c r="A64" s="17"/>
      <c r="B64" s="9" t="str">
        <f aca="false">IF(A64="","",IFERROR(INDEX(APU!$B$6:$B$305,MATCH(A64,APU!$A$6:$A$305,0)),"No existe"))</f>
        <v/>
      </c>
      <c r="C64" s="9" t="str">
        <f aca="false">IF(A64="","",IFERROR(INDEX(APU!$C$6:$C$305,MATCH(A64,APU!$A$6:$A$305,0)),""))</f>
        <v/>
      </c>
      <c r="D64" s="23" t="str">
        <f aca="false">IF($A64="","",SUMIFS(APU!$J$6:$J$305,APU!$A$6:$A$305,$A64,APU!$F$6:$F$305,"MATERIAL"))</f>
        <v/>
      </c>
      <c r="E64" s="23" t="str">
        <f aca="false">IF($A64="","",SUMIFS(APU!$J$6:$J$305,APU!$A$6:$A$305,$A64,APU!$F$6:$F$305,"MANO DE OBRA"))</f>
        <v/>
      </c>
      <c r="F64" s="23" t="str">
        <f aca="false">IF($A64="","",SUMIFS(APU!$J$6:$J$305,APU!$A$6:$A$305,$A64,APU!$F$6:$F$305,"EQUIPO"))</f>
        <v/>
      </c>
      <c r="G64" s="23" t="str">
        <f aca="false">IF($A64="","",SUMIFS(APU!$J$6:$J$305,APU!$A$6:$A$305,$A64,APU!$F$6:$F$305,"TRANSPORTE"))</f>
        <v/>
      </c>
      <c r="H64" s="23" t="str">
        <f aca="false">IF(A64="","",SUM(D64:G64))</f>
        <v/>
      </c>
    </row>
    <row r="65" customFormat="false" ht="15" hidden="false" customHeight="false" outlineLevel="0" collapsed="false">
      <c r="A65" s="17"/>
      <c r="B65" s="9" t="str">
        <f aca="false">IF(A65="","",IFERROR(INDEX(APU!$B$6:$B$305,MATCH(A65,APU!$A$6:$A$305,0)),"No existe"))</f>
        <v/>
      </c>
      <c r="C65" s="9" t="str">
        <f aca="false">IF(A65="","",IFERROR(INDEX(APU!$C$6:$C$305,MATCH(A65,APU!$A$6:$A$305,0)),""))</f>
        <v/>
      </c>
      <c r="D65" s="23" t="str">
        <f aca="false">IF($A65="","",SUMIFS(APU!$J$6:$J$305,APU!$A$6:$A$305,$A65,APU!$F$6:$F$305,"MATERIAL"))</f>
        <v/>
      </c>
      <c r="E65" s="23" t="str">
        <f aca="false">IF($A65="","",SUMIFS(APU!$J$6:$J$305,APU!$A$6:$A$305,$A65,APU!$F$6:$F$305,"MANO DE OBRA"))</f>
        <v/>
      </c>
      <c r="F65" s="23" t="str">
        <f aca="false">IF($A65="","",SUMIFS(APU!$J$6:$J$305,APU!$A$6:$A$305,$A65,APU!$F$6:$F$305,"EQUIPO"))</f>
        <v/>
      </c>
      <c r="G65" s="23" t="str">
        <f aca="false">IF($A65="","",SUMIFS(APU!$J$6:$J$305,APU!$A$6:$A$305,$A65,APU!$F$6:$F$305,"TRANSPORTE"))</f>
        <v/>
      </c>
      <c r="H65" s="23" t="str">
        <f aca="false">IF(A65="","",SUM(D65:G65))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7" t="s">
        <v>76</v>
      </c>
    </row>
    <row r="3" customFormat="false" ht="15" hidden="false" customHeight="false" outlineLevel="0" collapsed="false">
      <c r="I3" s="24" t="s">
        <v>77</v>
      </c>
      <c r="J3" s="25" t="n">
        <f aca="false">SUM(J6:J205)</f>
        <v>7157900</v>
      </c>
    </row>
    <row r="5" customFormat="false" ht="31.5" hidden="false" customHeight="true" outlineLevel="0" collapsed="false">
      <c r="A5" s="8" t="s">
        <v>78</v>
      </c>
      <c r="B5" s="8" t="s">
        <v>79</v>
      </c>
      <c r="C5" s="8" t="s">
        <v>80</v>
      </c>
      <c r="D5" s="8" t="s">
        <v>81</v>
      </c>
      <c r="E5" s="8" t="s">
        <v>32</v>
      </c>
      <c r="F5" s="8" t="s">
        <v>34</v>
      </c>
      <c r="G5" s="8" t="s">
        <v>82</v>
      </c>
      <c r="H5" s="8" t="s">
        <v>57</v>
      </c>
      <c r="I5" s="8" t="s">
        <v>83</v>
      </c>
      <c r="J5" s="8" t="s">
        <v>84</v>
      </c>
      <c r="K5" s="8" t="s">
        <v>85</v>
      </c>
    </row>
    <row r="6" customFormat="false" ht="15" hidden="false" customHeight="false" outlineLevel="0" collapsed="false">
      <c r="A6" s="14" t="s">
        <v>86</v>
      </c>
      <c r="B6" s="14" t="s">
        <v>87</v>
      </c>
      <c r="C6" s="14" t="s">
        <v>88</v>
      </c>
      <c r="D6" s="14" t="s">
        <v>89</v>
      </c>
      <c r="E6" s="14" t="s">
        <v>90</v>
      </c>
      <c r="F6" s="19" t="str">
        <f aca="false">IF(H6="","",IFERROR(INDEX(APU_Resumen!$C$6:$C$65,MATCH(H6,APU_Resumen!$A$6:$A$65,0)),""))</f>
        <v>m³</v>
      </c>
      <c r="G6" s="26" t="n">
        <v>12.4</v>
      </c>
      <c r="H6" s="14" t="s">
        <v>66</v>
      </c>
      <c r="I6" s="21" t="n">
        <f aca="false">IF(H6="","",IFERROR(INDEX(APU_Resumen!$H$6:$H$65,MATCH(H6,APU_Resumen!$A$6:$A$65,0)),"Sin APU"))</f>
        <v>577250</v>
      </c>
      <c r="J6" s="21" t="n">
        <f aca="false">IF(OR(G6="",NOT(ISNUMBER(I6))),"",G6*I6)</f>
        <v>7157900</v>
      </c>
      <c r="K6" s="27" t="n">
        <f aca="false">IF(OR(J6="",$J$3=0),"",J6/$J$3)</f>
        <v>1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9" t="str">
        <f aca="false">IF(H7="","",IFERROR(INDEX(APU_Resumen!$C$6:$C$65,MATCH(H7,APU_Resumen!$A$6:$A$65,0)),""))</f>
        <v/>
      </c>
      <c r="G7" s="28"/>
      <c r="H7" s="17"/>
      <c r="I7" s="23" t="str">
        <f aca="false">IF(H7="","",IFERROR(INDEX(APU_Resumen!$H$6:$H$65,MATCH(H7,APU_Resumen!$A$6:$A$65,0)),"Sin APU"))</f>
        <v/>
      </c>
      <c r="J7" s="23" t="str">
        <f aca="false">IF(OR(G7="",NOT(ISNUMBER(I7))),"",G7*I7)</f>
        <v/>
      </c>
      <c r="K7" s="29" t="str">
        <f aca="false">IF(OR(J7="",$J$3=0),"",J7/$J$3)</f>
        <v/>
      </c>
    </row>
    <row r="8" customFormat="false" ht="15" hidden="false" customHeight="false" outlineLevel="0" collapsed="false">
      <c r="A8" s="17"/>
      <c r="B8" s="17"/>
      <c r="C8" s="17"/>
      <c r="D8" s="17"/>
      <c r="E8" s="17"/>
      <c r="F8" s="9" t="str">
        <f aca="false">IF(H8="","",IFERROR(INDEX(APU_Resumen!$C$6:$C$65,MATCH(H8,APU_Resumen!$A$6:$A$65,0)),""))</f>
        <v/>
      </c>
      <c r="G8" s="28"/>
      <c r="H8" s="17"/>
      <c r="I8" s="23" t="str">
        <f aca="false">IF(H8="","",IFERROR(INDEX(APU_Resumen!$H$6:$H$65,MATCH(H8,APU_Resumen!$A$6:$A$65,0)),"Sin APU"))</f>
        <v/>
      </c>
      <c r="J8" s="23" t="str">
        <f aca="false">IF(OR(G8="",NOT(ISNUMBER(I8))),"",G8*I8)</f>
        <v/>
      </c>
      <c r="K8" s="29" t="str">
        <f aca="false">IF(OR(J8="",$J$3=0),"",J8/$J$3)</f>
        <v/>
      </c>
    </row>
    <row r="9" customFormat="false" ht="15" hidden="false" customHeight="false" outlineLevel="0" collapsed="false">
      <c r="A9" s="17"/>
      <c r="B9" s="17"/>
      <c r="C9" s="17"/>
      <c r="D9" s="17"/>
      <c r="E9" s="17"/>
      <c r="F9" s="9" t="str">
        <f aca="false">IF(H9="","",IFERROR(INDEX(APU_Resumen!$C$6:$C$65,MATCH(H9,APU_Resumen!$A$6:$A$65,0)),""))</f>
        <v/>
      </c>
      <c r="G9" s="28"/>
      <c r="H9" s="17"/>
      <c r="I9" s="23" t="str">
        <f aca="false">IF(H9="","",IFERROR(INDEX(APU_Resumen!$H$6:$H$65,MATCH(H9,APU_Resumen!$A$6:$A$65,0)),"Sin APU"))</f>
        <v/>
      </c>
      <c r="J9" s="23" t="str">
        <f aca="false">IF(OR(G9="",NOT(ISNUMBER(I9))),"",G9*I9)</f>
        <v/>
      </c>
      <c r="K9" s="29" t="str">
        <f aca="false">IF(OR(J9="",$J$3=0),"",J9/$J$3)</f>
        <v/>
      </c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9" t="str">
        <f aca="false">IF(H10="","",IFERROR(INDEX(APU_Resumen!$C$6:$C$65,MATCH(H10,APU_Resumen!$A$6:$A$65,0)),""))</f>
        <v/>
      </c>
      <c r="G10" s="28"/>
      <c r="H10" s="17"/>
      <c r="I10" s="23" t="str">
        <f aca="false">IF(H10="","",IFERROR(INDEX(APU_Resumen!$H$6:$H$65,MATCH(H10,APU_Resumen!$A$6:$A$65,0)),"Sin APU"))</f>
        <v/>
      </c>
      <c r="J10" s="23" t="str">
        <f aca="false">IF(OR(G10="",NOT(ISNUMBER(I10))),"",G10*I10)</f>
        <v/>
      </c>
      <c r="K10" s="29" t="str">
        <f aca="false">IF(OR(J10="",$J$3=0),"",J10/$J$3)</f>
        <v/>
      </c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9" t="str">
        <f aca="false">IF(H11="","",IFERROR(INDEX(APU_Resumen!$C$6:$C$65,MATCH(H11,APU_Resumen!$A$6:$A$65,0)),""))</f>
        <v/>
      </c>
      <c r="G11" s="28"/>
      <c r="H11" s="17"/>
      <c r="I11" s="23" t="str">
        <f aca="false">IF(H11="","",IFERROR(INDEX(APU_Resumen!$H$6:$H$65,MATCH(H11,APU_Resumen!$A$6:$A$65,0)),"Sin APU"))</f>
        <v/>
      </c>
      <c r="J11" s="23" t="str">
        <f aca="false">IF(OR(G11="",NOT(ISNUMBER(I11))),"",G11*I11)</f>
        <v/>
      </c>
      <c r="K11" s="29" t="str">
        <f aca="false">IF(OR(J11="",$J$3=0),"",J11/$J$3)</f>
        <v/>
      </c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9" t="str">
        <f aca="false">IF(H12="","",IFERROR(INDEX(APU_Resumen!$C$6:$C$65,MATCH(H12,APU_Resumen!$A$6:$A$65,0)),""))</f>
        <v/>
      </c>
      <c r="G12" s="28"/>
      <c r="H12" s="17"/>
      <c r="I12" s="23" t="str">
        <f aca="false">IF(H12="","",IFERROR(INDEX(APU_Resumen!$H$6:$H$65,MATCH(H12,APU_Resumen!$A$6:$A$65,0)),"Sin APU"))</f>
        <v/>
      </c>
      <c r="J12" s="23" t="str">
        <f aca="false">IF(OR(G12="",NOT(ISNUMBER(I12))),"",G12*I12)</f>
        <v/>
      </c>
      <c r="K12" s="29" t="str">
        <f aca="false">IF(OR(J12="",$J$3=0),"",J12/$J$3)</f>
        <v/>
      </c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9" t="str">
        <f aca="false">IF(H13="","",IFERROR(INDEX(APU_Resumen!$C$6:$C$65,MATCH(H13,APU_Resumen!$A$6:$A$65,0)),""))</f>
        <v/>
      </c>
      <c r="G13" s="28"/>
      <c r="H13" s="17"/>
      <c r="I13" s="23" t="str">
        <f aca="false">IF(H13="","",IFERROR(INDEX(APU_Resumen!$H$6:$H$65,MATCH(H13,APU_Resumen!$A$6:$A$65,0)),"Sin APU"))</f>
        <v/>
      </c>
      <c r="J13" s="23" t="str">
        <f aca="false">IF(OR(G13="",NOT(ISNUMBER(I13))),"",G13*I13)</f>
        <v/>
      </c>
      <c r="K13" s="29" t="str">
        <f aca="false">IF(OR(J13="",$J$3=0),"",J13/$J$3)</f>
        <v/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9" t="str">
        <f aca="false">IF(H14="","",IFERROR(INDEX(APU_Resumen!$C$6:$C$65,MATCH(H14,APU_Resumen!$A$6:$A$65,0)),""))</f>
        <v/>
      </c>
      <c r="G14" s="28"/>
      <c r="H14" s="17"/>
      <c r="I14" s="23" t="str">
        <f aca="false">IF(H14="","",IFERROR(INDEX(APU_Resumen!$H$6:$H$65,MATCH(H14,APU_Resumen!$A$6:$A$65,0)),"Sin APU"))</f>
        <v/>
      </c>
      <c r="J14" s="23" t="str">
        <f aca="false">IF(OR(G14="",NOT(ISNUMBER(I14))),"",G14*I14)</f>
        <v/>
      </c>
      <c r="K14" s="29" t="str">
        <f aca="false">IF(OR(J14="",$J$3=0),"",J14/$J$3)</f>
        <v/>
      </c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9" t="str">
        <f aca="false">IF(H15="","",IFERROR(INDEX(APU_Resumen!$C$6:$C$65,MATCH(H15,APU_Resumen!$A$6:$A$65,0)),""))</f>
        <v/>
      </c>
      <c r="G15" s="28"/>
      <c r="H15" s="17"/>
      <c r="I15" s="23" t="str">
        <f aca="false">IF(H15="","",IFERROR(INDEX(APU_Resumen!$H$6:$H$65,MATCH(H15,APU_Resumen!$A$6:$A$65,0)),"Sin APU"))</f>
        <v/>
      </c>
      <c r="J15" s="23" t="str">
        <f aca="false">IF(OR(G15="",NOT(ISNUMBER(I15))),"",G15*I15)</f>
        <v/>
      </c>
      <c r="K15" s="29" t="str">
        <f aca="false">IF(OR(J15="",$J$3=0),"",J15/$J$3)</f>
        <v/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9" t="str">
        <f aca="false">IF(H16="","",IFERROR(INDEX(APU_Resumen!$C$6:$C$65,MATCH(H16,APU_Resumen!$A$6:$A$65,0)),""))</f>
        <v/>
      </c>
      <c r="G16" s="28"/>
      <c r="H16" s="17"/>
      <c r="I16" s="23" t="str">
        <f aca="false">IF(H16="","",IFERROR(INDEX(APU_Resumen!$H$6:$H$65,MATCH(H16,APU_Resumen!$A$6:$A$65,0)),"Sin APU"))</f>
        <v/>
      </c>
      <c r="J16" s="23" t="str">
        <f aca="false">IF(OR(G16="",NOT(ISNUMBER(I16))),"",G16*I16)</f>
        <v/>
      </c>
      <c r="K16" s="29" t="str">
        <f aca="false">IF(OR(J16="",$J$3=0),"",J16/$J$3)</f>
        <v/>
      </c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9" t="str">
        <f aca="false">IF(H17="","",IFERROR(INDEX(APU_Resumen!$C$6:$C$65,MATCH(H17,APU_Resumen!$A$6:$A$65,0)),""))</f>
        <v/>
      </c>
      <c r="G17" s="28"/>
      <c r="H17" s="17"/>
      <c r="I17" s="23" t="str">
        <f aca="false">IF(H17="","",IFERROR(INDEX(APU_Resumen!$H$6:$H$65,MATCH(H17,APU_Resumen!$A$6:$A$65,0)),"Sin APU"))</f>
        <v/>
      </c>
      <c r="J17" s="23" t="str">
        <f aca="false">IF(OR(G17="",NOT(ISNUMBER(I17))),"",G17*I17)</f>
        <v/>
      </c>
      <c r="K17" s="29" t="str">
        <f aca="false">IF(OR(J17="",$J$3=0),"",J17/$J$3)</f>
        <v/>
      </c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9" t="str">
        <f aca="false">IF(H18="","",IFERROR(INDEX(APU_Resumen!$C$6:$C$65,MATCH(H18,APU_Resumen!$A$6:$A$65,0)),""))</f>
        <v/>
      </c>
      <c r="G18" s="28"/>
      <c r="H18" s="17"/>
      <c r="I18" s="23" t="str">
        <f aca="false">IF(H18="","",IFERROR(INDEX(APU_Resumen!$H$6:$H$65,MATCH(H18,APU_Resumen!$A$6:$A$65,0)),"Sin APU"))</f>
        <v/>
      </c>
      <c r="J18" s="23" t="str">
        <f aca="false">IF(OR(G18="",NOT(ISNUMBER(I18))),"",G18*I18)</f>
        <v/>
      </c>
      <c r="K18" s="29" t="str">
        <f aca="false">IF(OR(J18="",$J$3=0),"",J18/$J$3)</f>
        <v/>
      </c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9" t="str">
        <f aca="false">IF(H19="","",IFERROR(INDEX(APU_Resumen!$C$6:$C$65,MATCH(H19,APU_Resumen!$A$6:$A$65,0)),""))</f>
        <v/>
      </c>
      <c r="G19" s="28"/>
      <c r="H19" s="17"/>
      <c r="I19" s="23" t="str">
        <f aca="false">IF(H19="","",IFERROR(INDEX(APU_Resumen!$H$6:$H$65,MATCH(H19,APU_Resumen!$A$6:$A$65,0)),"Sin APU"))</f>
        <v/>
      </c>
      <c r="J19" s="23" t="str">
        <f aca="false">IF(OR(G19="",NOT(ISNUMBER(I19))),"",G19*I19)</f>
        <v/>
      </c>
      <c r="K19" s="29" t="str">
        <f aca="false">IF(OR(J19="",$J$3=0),"",J19/$J$3)</f>
        <v/>
      </c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9" t="str">
        <f aca="false">IF(H20="","",IFERROR(INDEX(APU_Resumen!$C$6:$C$65,MATCH(H20,APU_Resumen!$A$6:$A$65,0)),""))</f>
        <v/>
      </c>
      <c r="G20" s="28"/>
      <c r="H20" s="17"/>
      <c r="I20" s="23" t="str">
        <f aca="false">IF(H20="","",IFERROR(INDEX(APU_Resumen!$H$6:$H$65,MATCH(H20,APU_Resumen!$A$6:$A$65,0)),"Sin APU"))</f>
        <v/>
      </c>
      <c r="J20" s="23" t="str">
        <f aca="false">IF(OR(G20="",NOT(ISNUMBER(I20))),"",G20*I20)</f>
        <v/>
      </c>
      <c r="K20" s="29" t="str">
        <f aca="false">IF(OR(J20="",$J$3=0),"",J20/$J$3)</f>
        <v/>
      </c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9" t="str">
        <f aca="false">IF(H21="","",IFERROR(INDEX(APU_Resumen!$C$6:$C$65,MATCH(H21,APU_Resumen!$A$6:$A$65,0)),""))</f>
        <v/>
      </c>
      <c r="G21" s="28"/>
      <c r="H21" s="17"/>
      <c r="I21" s="23" t="str">
        <f aca="false">IF(H21="","",IFERROR(INDEX(APU_Resumen!$H$6:$H$65,MATCH(H21,APU_Resumen!$A$6:$A$65,0)),"Sin APU"))</f>
        <v/>
      </c>
      <c r="J21" s="23" t="str">
        <f aca="false">IF(OR(G21="",NOT(ISNUMBER(I21))),"",G21*I21)</f>
        <v/>
      </c>
      <c r="K21" s="29" t="str">
        <f aca="false">IF(OR(J21="",$J$3=0),"",J21/$J$3)</f>
        <v/>
      </c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9" t="str">
        <f aca="false">IF(H22="","",IFERROR(INDEX(APU_Resumen!$C$6:$C$65,MATCH(H22,APU_Resumen!$A$6:$A$65,0)),""))</f>
        <v/>
      </c>
      <c r="G22" s="28"/>
      <c r="H22" s="17"/>
      <c r="I22" s="23" t="str">
        <f aca="false">IF(H22="","",IFERROR(INDEX(APU_Resumen!$H$6:$H$65,MATCH(H22,APU_Resumen!$A$6:$A$65,0)),"Sin APU"))</f>
        <v/>
      </c>
      <c r="J22" s="23" t="str">
        <f aca="false">IF(OR(G22="",NOT(ISNUMBER(I22))),"",G22*I22)</f>
        <v/>
      </c>
      <c r="K22" s="29" t="str">
        <f aca="false">IF(OR(J22="",$J$3=0),"",J22/$J$3)</f>
        <v/>
      </c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9" t="str">
        <f aca="false">IF(H23="","",IFERROR(INDEX(APU_Resumen!$C$6:$C$65,MATCH(H23,APU_Resumen!$A$6:$A$65,0)),""))</f>
        <v/>
      </c>
      <c r="G23" s="28"/>
      <c r="H23" s="17"/>
      <c r="I23" s="23" t="str">
        <f aca="false">IF(H23="","",IFERROR(INDEX(APU_Resumen!$H$6:$H$65,MATCH(H23,APU_Resumen!$A$6:$A$65,0)),"Sin APU"))</f>
        <v/>
      </c>
      <c r="J23" s="23" t="str">
        <f aca="false">IF(OR(G23="",NOT(ISNUMBER(I23))),"",G23*I23)</f>
        <v/>
      </c>
      <c r="K23" s="29" t="str">
        <f aca="false">IF(OR(J23="",$J$3=0),"",J23/$J$3)</f>
        <v/>
      </c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9" t="str">
        <f aca="false">IF(H24="","",IFERROR(INDEX(APU_Resumen!$C$6:$C$65,MATCH(H24,APU_Resumen!$A$6:$A$65,0)),""))</f>
        <v/>
      </c>
      <c r="G24" s="28"/>
      <c r="H24" s="17"/>
      <c r="I24" s="23" t="str">
        <f aca="false">IF(H24="","",IFERROR(INDEX(APU_Resumen!$H$6:$H$65,MATCH(H24,APU_Resumen!$A$6:$A$65,0)),"Sin APU"))</f>
        <v/>
      </c>
      <c r="J24" s="23" t="str">
        <f aca="false">IF(OR(G24="",NOT(ISNUMBER(I24))),"",G24*I24)</f>
        <v/>
      </c>
      <c r="K24" s="29" t="str">
        <f aca="false">IF(OR(J24="",$J$3=0),"",J24/$J$3)</f>
        <v/>
      </c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9" t="str">
        <f aca="false">IF(H25="","",IFERROR(INDEX(APU_Resumen!$C$6:$C$65,MATCH(H25,APU_Resumen!$A$6:$A$65,0)),""))</f>
        <v/>
      </c>
      <c r="G25" s="28"/>
      <c r="H25" s="17"/>
      <c r="I25" s="23" t="str">
        <f aca="false">IF(H25="","",IFERROR(INDEX(APU_Resumen!$H$6:$H$65,MATCH(H25,APU_Resumen!$A$6:$A$65,0)),"Sin APU"))</f>
        <v/>
      </c>
      <c r="J25" s="23" t="str">
        <f aca="false">IF(OR(G25="",NOT(ISNUMBER(I25))),"",G25*I25)</f>
        <v/>
      </c>
      <c r="K25" s="29" t="str">
        <f aca="false">IF(OR(J25="",$J$3=0),"",J25/$J$3)</f>
        <v/>
      </c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9" t="str">
        <f aca="false">IF(H26="","",IFERROR(INDEX(APU_Resumen!$C$6:$C$65,MATCH(H26,APU_Resumen!$A$6:$A$65,0)),""))</f>
        <v/>
      </c>
      <c r="G26" s="28"/>
      <c r="H26" s="17"/>
      <c r="I26" s="23" t="str">
        <f aca="false">IF(H26="","",IFERROR(INDEX(APU_Resumen!$H$6:$H$65,MATCH(H26,APU_Resumen!$A$6:$A$65,0)),"Sin APU"))</f>
        <v/>
      </c>
      <c r="J26" s="23" t="str">
        <f aca="false">IF(OR(G26="",NOT(ISNUMBER(I26))),"",G26*I26)</f>
        <v/>
      </c>
      <c r="K26" s="29" t="str">
        <f aca="false">IF(OR(J26="",$J$3=0),"",J26/$J$3)</f>
        <v/>
      </c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9" t="str">
        <f aca="false">IF(H27="","",IFERROR(INDEX(APU_Resumen!$C$6:$C$65,MATCH(H27,APU_Resumen!$A$6:$A$65,0)),""))</f>
        <v/>
      </c>
      <c r="G27" s="28"/>
      <c r="H27" s="17"/>
      <c r="I27" s="23" t="str">
        <f aca="false">IF(H27="","",IFERROR(INDEX(APU_Resumen!$H$6:$H$65,MATCH(H27,APU_Resumen!$A$6:$A$65,0)),"Sin APU"))</f>
        <v/>
      </c>
      <c r="J27" s="23" t="str">
        <f aca="false">IF(OR(G27="",NOT(ISNUMBER(I27))),"",G27*I27)</f>
        <v/>
      </c>
      <c r="K27" s="29" t="str">
        <f aca="false">IF(OR(J27="",$J$3=0),"",J27/$J$3)</f>
        <v/>
      </c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9" t="str">
        <f aca="false">IF(H28="","",IFERROR(INDEX(APU_Resumen!$C$6:$C$65,MATCH(H28,APU_Resumen!$A$6:$A$65,0)),""))</f>
        <v/>
      </c>
      <c r="G28" s="28"/>
      <c r="H28" s="17"/>
      <c r="I28" s="23" t="str">
        <f aca="false">IF(H28="","",IFERROR(INDEX(APU_Resumen!$H$6:$H$65,MATCH(H28,APU_Resumen!$A$6:$A$65,0)),"Sin APU"))</f>
        <v/>
      </c>
      <c r="J28" s="23" t="str">
        <f aca="false">IF(OR(G28="",NOT(ISNUMBER(I28))),"",G28*I28)</f>
        <v/>
      </c>
      <c r="K28" s="29" t="str">
        <f aca="false">IF(OR(J28="",$J$3=0),"",J28/$J$3)</f>
        <v/>
      </c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9" t="str">
        <f aca="false">IF(H29="","",IFERROR(INDEX(APU_Resumen!$C$6:$C$65,MATCH(H29,APU_Resumen!$A$6:$A$65,0)),""))</f>
        <v/>
      </c>
      <c r="G29" s="28"/>
      <c r="H29" s="17"/>
      <c r="I29" s="23" t="str">
        <f aca="false">IF(H29="","",IFERROR(INDEX(APU_Resumen!$H$6:$H$65,MATCH(H29,APU_Resumen!$A$6:$A$65,0)),"Sin APU"))</f>
        <v/>
      </c>
      <c r="J29" s="23" t="str">
        <f aca="false">IF(OR(G29="",NOT(ISNUMBER(I29))),"",G29*I29)</f>
        <v/>
      </c>
      <c r="K29" s="29" t="str">
        <f aca="false">IF(OR(J29="",$J$3=0),"",J29/$J$3)</f>
        <v/>
      </c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9" t="str">
        <f aca="false">IF(H30="","",IFERROR(INDEX(APU_Resumen!$C$6:$C$65,MATCH(H30,APU_Resumen!$A$6:$A$65,0)),""))</f>
        <v/>
      </c>
      <c r="G30" s="28"/>
      <c r="H30" s="17"/>
      <c r="I30" s="23" t="str">
        <f aca="false">IF(H30="","",IFERROR(INDEX(APU_Resumen!$H$6:$H$65,MATCH(H30,APU_Resumen!$A$6:$A$65,0)),"Sin APU"))</f>
        <v/>
      </c>
      <c r="J30" s="23" t="str">
        <f aca="false">IF(OR(G30="",NOT(ISNUMBER(I30))),"",G30*I30)</f>
        <v/>
      </c>
      <c r="K30" s="29" t="str">
        <f aca="false">IF(OR(J30="",$J$3=0),"",J30/$J$3)</f>
        <v/>
      </c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9" t="str">
        <f aca="false">IF(H31="","",IFERROR(INDEX(APU_Resumen!$C$6:$C$65,MATCH(H31,APU_Resumen!$A$6:$A$65,0)),""))</f>
        <v/>
      </c>
      <c r="G31" s="28"/>
      <c r="H31" s="17"/>
      <c r="I31" s="23" t="str">
        <f aca="false">IF(H31="","",IFERROR(INDEX(APU_Resumen!$H$6:$H$65,MATCH(H31,APU_Resumen!$A$6:$A$65,0)),"Sin APU"))</f>
        <v/>
      </c>
      <c r="J31" s="23" t="str">
        <f aca="false">IF(OR(G31="",NOT(ISNUMBER(I31))),"",G31*I31)</f>
        <v/>
      </c>
      <c r="K31" s="29" t="str">
        <f aca="false">IF(OR(J31="",$J$3=0),"",J31/$J$3)</f>
        <v/>
      </c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9" t="str">
        <f aca="false">IF(H32="","",IFERROR(INDEX(APU_Resumen!$C$6:$C$65,MATCH(H32,APU_Resumen!$A$6:$A$65,0)),""))</f>
        <v/>
      </c>
      <c r="G32" s="28"/>
      <c r="H32" s="17"/>
      <c r="I32" s="23" t="str">
        <f aca="false">IF(H32="","",IFERROR(INDEX(APU_Resumen!$H$6:$H$65,MATCH(H32,APU_Resumen!$A$6:$A$65,0)),"Sin APU"))</f>
        <v/>
      </c>
      <c r="J32" s="23" t="str">
        <f aca="false">IF(OR(G32="",NOT(ISNUMBER(I32))),"",G32*I32)</f>
        <v/>
      </c>
      <c r="K32" s="29" t="str">
        <f aca="false">IF(OR(J32="",$J$3=0),"",J32/$J$3)</f>
        <v/>
      </c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9" t="str">
        <f aca="false">IF(H33="","",IFERROR(INDEX(APU_Resumen!$C$6:$C$65,MATCH(H33,APU_Resumen!$A$6:$A$65,0)),""))</f>
        <v/>
      </c>
      <c r="G33" s="28"/>
      <c r="H33" s="17"/>
      <c r="I33" s="23" t="str">
        <f aca="false">IF(H33="","",IFERROR(INDEX(APU_Resumen!$H$6:$H$65,MATCH(H33,APU_Resumen!$A$6:$A$65,0)),"Sin APU"))</f>
        <v/>
      </c>
      <c r="J33" s="23" t="str">
        <f aca="false">IF(OR(G33="",NOT(ISNUMBER(I33))),"",G33*I33)</f>
        <v/>
      </c>
      <c r="K33" s="29" t="str">
        <f aca="false">IF(OR(J33="",$J$3=0),"",J33/$J$3)</f>
        <v/>
      </c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9" t="str">
        <f aca="false">IF(H34="","",IFERROR(INDEX(APU_Resumen!$C$6:$C$65,MATCH(H34,APU_Resumen!$A$6:$A$65,0)),""))</f>
        <v/>
      </c>
      <c r="G34" s="28"/>
      <c r="H34" s="17"/>
      <c r="I34" s="23" t="str">
        <f aca="false">IF(H34="","",IFERROR(INDEX(APU_Resumen!$H$6:$H$65,MATCH(H34,APU_Resumen!$A$6:$A$65,0)),"Sin APU"))</f>
        <v/>
      </c>
      <c r="J34" s="23" t="str">
        <f aca="false">IF(OR(G34="",NOT(ISNUMBER(I34))),"",G34*I34)</f>
        <v/>
      </c>
      <c r="K34" s="29" t="str">
        <f aca="false">IF(OR(J34="",$J$3=0),"",J34/$J$3)</f>
        <v/>
      </c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9" t="str">
        <f aca="false">IF(H35="","",IFERROR(INDEX(APU_Resumen!$C$6:$C$65,MATCH(H35,APU_Resumen!$A$6:$A$65,0)),""))</f>
        <v/>
      </c>
      <c r="G35" s="28"/>
      <c r="H35" s="17"/>
      <c r="I35" s="23" t="str">
        <f aca="false">IF(H35="","",IFERROR(INDEX(APU_Resumen!$H$6:$H$65,MATCH(H35,APU_Resumen!$A$6:$A$65,0)),"Sin APU"))</f>
        <v/>
      </c>
      <c r="J35" s="23" t="str">
        <f aca="false">IF(OR(G35="",NOT(ISNUMBER(I35))),"",G35*I35)</f>
        <v/>
      </c>
      <c r="K35" s="29" t="str">
        <f aca="false">IF(OR(J35="",$J$3=0),"",J35/$J$3)</f>
        <v/>
      </c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9" t="str">
        <f aca="false">IF(H36="","",IFERROR(INDEX(APU_Resumen!$C$6:$C$65,MATCH(H36,APU_Resumen!$A$6:$A$65,0)),""))</f>
        <v/>
      </c>
      <c r="G36" s="28"/>
      <c r="H36" s="17"/>
      <c r="I36" s="23" t="str">
        <f aca="false">IF(H36="","",IFERROR(INDEX(APU_Resumen!$H$6:$H$65,MATCH(H36,APU_Resumen!$A$6:$A$65,0)),"Sin APU"))</f>
        <v/>
      </c>
      <c r="J36" s="23" t="str">
        <f aca="false">IF(OR(G36="",NOT(ISNUMBER(I36))),"",G36*I36)</f>
        <v/>
      </c>
      <c r="K36" s="29" t="str">
        <f aca="false">IF(OR(J36="",$J$3=0),"",J36/$J$3)</f>
        <v/>
      </c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9" t="str">
        <f aca="false">IF(H37="","",IFERROR(INDEX(APU_Resumen!$C$6:$C$65,MATCH(H37,APU_Resumen!$A$6:$A$65,0)),""))</f>
        <v/>
      </c>
      <c r="G37" s="28"/>
      <c r="H37" s="17"/>
      <c r="I37" s="23" t="str">
        <f aca="false">IF(H37="","",IFERROR(INDEX(APU_Resumen!$H$6:$H$65,MATCH(H37,APU_Resumen!$A$6:$A$65,0)),"Sin APU"))</f>
        <v/>
      </c>
      <c r="J37" s="23" t="str">
        <f aca="false">IF(OR(G37="",NOT(ISNUMBER(I37))),"",G37*I37)</f>
        <v/>
      </c>
      <c r="K37" s="29" t="str">
        <f aca="false">IF(OR(J37="",$J$3=0),"",J37/$J$3)</f>
        <v/>
      </c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9" t="str">
        <f aca="false">IF(H38="","",IFERROR(INDEX(APU_Resumen!$C$6:$C$65,MATCH(H38,APU_Resumen!$A$6:$A$65,0)),""))</f>
        <v/>
      </c>
      <c r="G38" s="28"/>
      <c r="H38" s="17"/>
      <c r="I38" s="23" t="str">
        <f aca="false">IF(H38="","",IFERROR(INDEX(APU_Resumen!$H$6:$H$65,MATCH(H38,APU_Resumen!$A$6:$A$65,0)),"Sin APU"))</f>
        <v/>
      </c>
      <c r="J38" s="23" t="str">
        <f aca="false">IF(OR(G38="",NOT(ISNUMBER(I38))),"",G38*I38)</f>
        <v/>
      </c>
      <c r="K38" s="29" t="str">
        <f aca="false">IF(OR(J38="",$J$3=0),"",J38/$J$3)</f>
        <v/>
      </c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9" t="str">
        <f aca="false">IF(H39="","",IFERROR(INDEX(APU_Resumen!$C$6:$C$65,MATCH(H39,APU_Resumen!$A$6:$A$65,0)),""))</f>
        <v/>
      </c>
      <c r="G39" s="28"/>
      <c r="H39" s="17"/>
      <c r="I39" s="23" t="str">
        <f aca="false">IF(H39="","",IFERROR(INDEX(APU_Resumen!$H$6:$H$65,MATCH(H39,APU_Resumen!$A$6:$A$65,0)),"Sin APU"))</f>
        <v/>
      </c>
      <c r="J39" s="23" t="str">
        <f aca="false">IF(OR(G39="",NOT(ISNUMBER(I39))),"",G39*I39)</f>
        <v/>
      </c>
      <c r="K39" s="29" t="str">
        <f aca="false">IF(OR(J39="",$J$3=0),"",J39/$J$3)</f>
        <v/>
      </c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9" t="str">
        <f aca="false">IF(H40="","",IFERROR(INDEX(APU_Resumen!$C$6:$C$65,MATCH(H40,APU_Resumen!$A$6:$A$65,0)),""))</f>
        <v/>
      </c>
      <c r="G40" s="28"/>
      <c r="H40" s="17"/>
      <c r="I40" s="23" t="str">
        <f aca="false">IF(H40="","",IFERROR(INDEX(APU_Resumen!$H$6:$H$65,MATCH(H40,APU_Resumen!$A$6:$A$65,0)),"Sin APU"))</f>
        <v/>
      </c>
      <c r="J40" s="23" t="str">
        <f aca="false">IF(OR(G40="",NOT(ISNUMBER(I40))),"",G40*I40)</f>
        <v/>
      </c>
      <c r="K40" s="29" t="str">
        <f aca="false">IF(OR(J40="",$J$3=0),"",J40/$J$3)</f>
        <v/>
      </c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9" t="str">
        <f aca="false">IF(H41="","",IFERROR(INDEX(APU_Resumen!$C$6:$C$65,MATCH(H41,APU_Resumen!$A$6:$A$65,0)),""))</f>
        <v/>
      </c>
      <c r="G41" s="28"/>
      <c r="H41" s="17"/>
      <c r="I41" s="23" t="str">
        <f aca="false">IF(H41="","",IFERROR(INDEX(APU_Resumen!$H$6:$H$65,MATCH(H41,APU_Resumen!$A$6:$A$65,0)),"Sin APU"))</f>
        <v/>
      </c>
      <c r="J41" s="23" t="str">
        <f aca="false">IF(OR(G41="",NOT(ISNUMBER(I41))),"",G41*I41)</f>
        <v/>
      </c>
      <c r="K41" s="29" t="str">
        <f aca="false">IF(OR(J41="",$J$3=0),"",J41/$J$3)</f>
        <v/>
      </c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9" t="str">
        <f aca="false">IF(H42="","",IFERROR(INDEX(APU_Resumen!$C$6:$C$65,MATCH(H42,APU_Resumen!$A$6:$A$65,0)),""))</f>
        <v/>
      </c>
      <c r="G42" s="28"/>
      <c r="H42" s="17"/>
      <c r="I42" s="23" t="str">
        <f aca="false">IF(H42="","",IFERROR(INDEX(APU_Resumen!$H$6:$H$65,MATCH(H42,APU_Resumen!$A$6:$A$65,0)),"Sin APU"))</f>
        <v/>
      </c>
      <c r="J42" s="23" t="str">
        <f aca="false">IF(OR(G42="",NOT(ISNUMBER(I42))),"",G42*I42)</f>
        <v/>
      </c>
      <c r="K42" s="29" t="str">
        <f aca="false">IF(OR(J42="",$J$3=0),"",J42/$J$3)</f>
        <v/>
      </c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9" t="str">
        <f aca="false">IF(H43="","",IFERROR(INDEX(APU_Resumen!$C$6:$C$65,MATCH(H43,APU_Resumen!$A$6:$A$65,0)),""))</f>
        <v/>
      </c>
      <c r="G43" s="28"/>
      <c r="H43" s="17"/>
      <c r="I43" s="23" t="str">
        <f aca="false">IF(H43="","",IFERROR(INDEX(APU_Resumen!$H$6:$H$65,MATCH(H43,APU_Resumen!$A$6:$A$65,0)),"Sin APU"))</f>
        <v/>
      </c>
      <c r="J43" s="23" t="str">
        <f aca="false">IF(OR(G43="",NOT(ISNUMBER(I43))),"",G43*I43)</f>
        <v/>
      </c>
      <c r="K43" s="29" t="str">
        <f aca="false">IF(OR(J43="",$J$3=0),"",J43/$J$3)</f>
        <v/>
      </c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9" t="str">
        <f aca="false">IF(H44="","",IFERROR(INDEX(APU_Resumen!$C$6:$C$65,MATCH(H44,APU_Resumen!$A$6:$A$65,0)),""))</f>
        <v/>
      </c>
      <c r="G44" s="28"/>
      <c r="H44" s="17"/>
      <c r="I44" s="23" t="str">
        <f aca="false">IF(H44="","",IFERROR(INDEX(APU_Resumen!$H$6:$H$65,MATCH(H44,APU_Resumen!$A$6:$A$65,0)),"Sin APU"))</f>
        <v/>
      </c>
      <c r="J44" s="23" t="str">
        <f aca="false">IF(OR(G44="",NOT(ISNUMBER(I44))),"",G44*I44)</f>
        <v/>
      </c>
      <c r="K44" s="29" t="str">
        <f aca="false">IF(OR(J44="",$J$3=0),"",J44/$J$3)</f>
        <v/>
      </c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9" t="str">
        <f aca="false">IF(H45="","",IFERROR(INDEX(APU_Resumen!$C$6:$C$65,MATCH(H45,APU_Resumen!$A$6:$A$65,0)),""))</f>
        <v/>
      </c>
      <c r="G45" s="28"/>
      <c r="H45" s="17"/>
      <c r="I45" s="23" t="str">
        <f aca="false">IF(H45="","",IFERROR(INDEX(APU_Resumen!$H$6:$H$65,MATCH(H45,APU_Resumen!$A$6:$A$65,0)),"Sin APU"))</f>
        <v/>
      </c>
      <c r="J45" s="23" t="str">
        <f aca="false">IF(OR(G45="",NOT(ISNUMBER(I45))),"",G45*I45)</f>
        <v/>
      </c>
      <c r="K45" s="29" t="str">
        <f aca="false">IF(OR(J45="",$J$3=0),"",J45/$J$3)</f>
        <v/>
      </c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9" t="str">
        <f aca="false">IF(H46="","",IFERROR(INDEX(APU_Resumen!$C$6:$C$65,MATCH(H46,APU_Resumen!$A$6:$A$65,0)),""))</f>
        <v/>
      </c>
      <c r="G46" s="28"/>
      <c r="H46" s="17"/>
      <c r="I46" s="23" t="str">
        <f aca="false">IF(H46="","",IFERROR(INDEX(APU_Resumen!$H$6:$H$65,MATCH(H46,APU_Resumen!$A$6:$A$65,0)),"Sin APU"))</f>
        <v/>
      </c>
      <c r="J46" s="23" t="str">
        <f aca="false">IF(OR(G46="",NOT(ISNUMBER(I46))),"",G46*I46)</f>
        <v/>
      </c>
      <c r="K46" s="29" t="str">
        <f aca="false">IF(OR(J46="",$J$3=0),"",J46/$J$3)</f>
        <v/>
      </c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9" t="str">
        <f aca="false">IF(H47="","",IFERROR(INDEX(APU_Resumen!$C$6:$C$65,MATCH(H47,APU_Resumen!$A$6:$A$65,0)),""))</f>
        <v/>
      </c>
      <c r="G47" s="28"/>
      <c r="H47" s="17"/>
      <c r="I47" s="23" t="str">
        <f aca="false">IF(H47="","",IFERROR(INDEX(APU_Resumen!$H$6:$H$65,MATCH(H47,APU_Resumen!$A$6:$A$65,0)),"Sin APU"))</f>
        <v/>
      </c>
      <c r="J47" s="23" t="str">
        <f aca="false">IF(OR(G47="",NOT(ISNUMBER(I47))),"",G47*I47)</f>
        <v/>
      </c>
      <c r="K47" s="29" t="str">
        <f aca="false">IF(OR(J47="",$J$3=0),"",J47/$J$3)</f>
        <v/>
      </c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9" t="str">
        <f aca="false">IF(H48="","",IFERROR(INDEX(APU_Resumen!$C$6:$C$65,MATCH(H48,APU_Resumen!$A$6:$A$65,0)),""))</f>
        <v/>
      </c>
      <c r="G48" s="28"/>
      <c r="H48" s="17"/>
      <c r="I48" s="23" t="str">
        <f aca="false">IF(H48="","",IFERROR(INDEX(APU_Resumen!$H$6:$H$65,MATCH(H48,APU_Resumen!$A$6:$A$65,0)),"Sin APU"))</f>
        <v/>
      </c>
      <c r="J48" s="23" t="str">
        <f aca="false">IF(OR(G48="",NOT(ISNUMBER(I48))),"",G48*I48)</f>
        <v/>
      </c>
      <c r="K48" s="29" t="str">
        <f aca="false">IF(OR(J48="",$J$3=0),"",J48/$J$3)</f>
        <v/>
      </c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9" t="str">
        <f aca="false">IF(H49="","",IFERROR(INDEX(APU_Resumen!$C$6:$C$65,MATCH(H49,APU_Resumen!$A$6:$A$65,0)),""))</f>
        <v/>
      </c>
      <c r="G49" s="28"/>
      <c r="H49" s="17"/>
      <c r="I49" s="23" t="str">
        <f aca="false">IF(H49="","",IFERROR(INDEX(APU_Resumen!$H$6:$H$65,MATCH(H49,APU_Resumen!$A$6:$A$65,0)),"Sin APU"))</f>
        <v/>
      </c>
      <c r="J49" s="23" t="str">
        <f aca="false">IF(OR(G49="",NOT(ISNUMBER(I49))),"",G49*I49)</f>
        <v/>
      </c>
      <c r="K49" s="29" t="str">
        <f aca="false">IF(OR(J49="",$J$3=0),"",J49/$J$3)</f>
        <v/>
      </c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9" t="str">
        <f aca="false">IF(H50="","",IFERROR(INDEX(APU_Resumen!$C$6:$C$65,MATCH(H50,APU_Resumen!$A$6:$A$65,0)),""))</f>
        <v/>
      </c>
      <c r="G50" s="28"/>
      <c r="H50" s="17"/>
      <c r="I50" s="23" t="str">
        <f aca="false">IF(H50="","",IFERROR(INDEX(APU_Resumen!$H$6:$H$65,MATCH(H50,APU_Resumen!$A$6:$A$65,0)),"Sin APU"))</f>
        <v/>
      </c>
      <c r="J50" s="23" t="str">
        <f aca="false">IF(OR(G50="",NOT(ISNUMBER(I50))),"",G50*I50)</f>
        <v/>
      </c>
      <c r="K50" s="29" t="str">
        <f aca="false">IF(OR(J50="",$J$3=0),"",J50/$J$3)</f>
        <v/>
      </c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9" t="str">
        <f aca="false">IF(H51="","",IFERROR(INDEX(APU_Resumen!$C$6:$C$65,MATCH(H51,APU_Resumen!$A$6:$A$65,0)),""))</f>
        <v/>
      </c>
      <c r="G51" s="28"/>
      <c r="H51" s="17"/>
      <c r="I51" s="23" t="str">
        <f aca="false">IF(H51="","",IFERROR(INDEX(APU_Resumen!$H$6:$H$65,MATCH(H51,APU_Resumen!$A$6:$A$65,0)),"Sin APU"))</f>
        <v/>
      </c>
      <c r="J51" s="23" t="str">
        <f aca="false">IF(OR(G51="",NOT(ISNUMBER(I51))),"",G51*I51)</f>
        <v/>
      </c>
      <c r="K51" s="29" t="str">
        <f aca="false">IF(OR(J51="",$J$3=0),"",J51/$J$3)</f>
        <v/>
      </c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9" t="str">
        <f aca="false">IF(H52="","",IFERROR(INDEX(APU_Resumen!$C$6:$C$65,MATCH(H52,APU_Resumen!$A$6:$A$65,0)),""))</f>
        <v/>
      </c>
      <c r="G52" s="28"/>
      <c r="H52" s="17"/>
      <c r="I52" s="23" t="str">
        <f aca="false">IF(H52="","",IFERROR(INDEX(APU_Resumen!$H$6:$H$65,MATCH(H52,APU_Resumen!$A$6:$A$65,0)),"Sin APU"))</f>
        <v/>
      </c>
      <c r="J52" s="23" t="str">
        <f aca="false">IF(OR(G52="",NOT(ISNUMBER(I52))),"",G52*I52)</f>
        <v/>
      </c>
      <c r="K52" s="29" t="str">
        <f aca="false">IF(OR(J52="",$J$3=0),"",J52/$J$3)</f>
        <v/>
      </c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9" t="str">
        <f aca="false">IF(H53="","",IFERROR(INDEX(APU_Resumen!$C$6:$C$65,MATCH(H53,APU_Resumen!$A$6:$A$65,0)),""))</f>
        <v/>
      </c>
      <c r="G53" s="28"/>
      <c r="H53" s="17"/>
      <c r="I53" s="23" t="str">
        <f aca="false">IF(H53="","",IFERROR(INDEX(APU_Resumen!$H$6:$H$65,MATCH(H53,APU_Resumen!$A$6:$A$65,0)),"Sin APU"))</f>
        <v/>
      </c>
      <c r="J53" s="23" t="str">
        <f aca="false">IF(OR(G53="",NOT(ISNUMBER(I53))),"",G53*I53)</f>
        <v/>
      </c>
      <c r="K53" s="29" t="str">
        <f aca="false">IF(OR(J53="",$J$3=0),"",J53/$J$3)</f>
        <v/>
      </c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9" t="str">
        <f aca="false">IF(H54="","",IFERROR(INDEX(APU_Resumen!$C$6:$C$65,MATCH(H54,APU_Resumen!$A$6:$A$65,0)),""))</f>
        <v/>
      </c>
      <c r="G54" s="28"/>
      <c r="H54" s="17"/>
      <c r="I54" s="23" t="str">
        <f aca="false">IF(H54="","",IFERROR(INDEX(APU_Resumen!$H$6:$H$65,MATCH(H54,APU_Resumen!$A$6:$A$65,0)),"Sin APU"))</f>
        <v/>
      </c>
      <c r="J54" s="23" t="str">
        <f aca="false">IF(OR(G54="",NOT(ISNUMBER(I54))),"",G54*I54)</f>
        <v/>
      </c>
      <c r="K54" s="29" t="str">
        <f aca="false">IF(OR(J54="",$J$3=0),"",J54/$J$3)</f>
        <v/>
      </c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9" t="str">
        <f aca="false">IF(H55="","",IFERROR(INDEX(APU_Resumen!$C$6:$C$65,MATCH(H55,APU_Resumen!$A$6:$A$65,0)),""))</f>
        <v/>
      </c>
      <c r="G55" s="28"/>
      <c r="H55" s="17"/>
      <c r="I55" s="23" t="str">
        <f aca="false">IF(H55="","",IFERROR(INDEX(APU_Resumen!$H$6:$H$65,MATCH(H55,APU_Resumen!$A$6:$A$65,0)),"Sin APU"))</f>
        <v/>
      </c>
      <c r="J55" s="23" t="str">
        <f aca="false">IF(OR(G55="",NOT(ISNUMBER(I55))),"",G55*I55)</f>
        <v/>
      </c>
      <c r="K55" s="29" t="str">
        <f aca="false">IF(OR(J55="",$J$3=0),"",J55/$J$3)</f>
        <v/>
      </c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9" t="str">
        <f aca="false">IF(H56="","",IFERROR(INDEX(APU_Resumen!$C$6:$C$65,MATCH(H56,APU_Resumen!$A$6:$A$65,0)),""))</f>
        <v/>
      </c>
      <c r="G56" s="28"/>
      <c r="H56" s="17"/>
      <c r="I56" s="23" t="str">
        <f aca="false">IF(H56="","",IFERROR(INDEX(APU_Resumen!$H$6:$H$65,MATCH(H56,APU_Resumen!$A$6:$A$65,0)),"Sin APU"))</f>
        <v/>
      </c>
      <c r="J56" s="23" t="str">
        <f aca="false">IF(OR(G56="",NOT(ISNUMBER(I56))),"",G56*I56)</f>
        <v/>
      </c>
      <c r="K56" s="29" t="str">
        <f aca="false">IF(OR(J56="",$J$3=0),"",J56/$J$3)</f>
        <v/>
      </c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9" t="str">
        <f aca="false">IF(H57="","",IFERROR(INDEX(APU_Resumen!$C$6:$C$65,MATCH(H57,APU_Resumen!$A$6:$A$65,0)),""))</f>
        <v/>
      </c>
      <c r="G57" s="28"/>
      <c r="H57" s="17"/>
      <c r="I57" s="23" t="str">
        <f aca="false">IF(H57="","",IFERROR(INDEX(APU_Resumen!$H$6:$H$65,MATCH(H57,APU_Resumen!$A$6:$A$65,0)),"Sin APU"))</f>
        <v/>
      </c>
      <c r="J57" s="23" t="str">
        <f aca="false">IF(OR(G57="",NOT(ISNUMBER(I57))),"",G57*I57)</f>
        <v/>
      </c>
      <c r="K57" s="29" t="str">
        <f aca="false">IF(OR(J57="",$J$3=0),"",J57/$J$3)</f>
        <v/>
      </c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9" t="str">
        <f aca="false">IF(H58="","",IFERROR(INDEX(APU_Resumen!$C$6:$C$65,MATCH(H58,APU_Resumen!$A$6:$A$65,0)),""))</f>
        <v/>
      </c>
      <c r="G58" s="28"/>
      <c r="H58" s="17"/>
      <c r="I58" s="23" t="str">
        <f aca="false">IF(H58="","",IFERROR(INDEX(APU_Resumen!$H$6:$H$65,MATCH(H58,APU_Resumen!$A$6:$A$65,0)),"Sin APU"))</f>
        <v/>
      </c>
      <c r="J58" s="23" t="str">
        <f aca="false">IF(OR(G58="",NOT(ISNUMBER(I58))),"",G58*I58)</f>
        <v/>
      </c>
      <c r="K58" s="29" t="str">
        <f aca="false">IF(OR(J58="",$J$3=0),"",J58/$J$3)</f>
        <v/>
      </c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9" t="str">
        <f aca="false">IF(H59="","",IFERROR(INDEX(APU_Resumen!$C$6:$C$65,MATCH(H59,APU_Resumen!$A$6:$A$65,0)),""))</f>
        <v/>
      </c>
      <c r="G59" s="28"/>
      <c r="H59" s="17"/>
      <c r="I59" s="23" t="str">
        <f aca="false">IF(H59="","",IFERROR(INDEX(APU_Resumen!$H$6:$H$65,MATCH(H59,APU_Resumen!$A$6:$A$65,0)),"Sin APU"))</f>
        <v/>
      </c>
      <c r="J59" s="23" t="str">
        <f aca="false">IF(OR(G59="",NOT(ISNUMBER(I59))),"",G59*I59)</f>
        <v/>
      </c>
      <c r="K59" s="29" t="str">
        <f aca="false">IF(OR(J59="",$J$3=0),"",J59/$J$3)</f>
        <v/>
      </c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9" t="str">
        <f aca="false">IF(H60="","",IFERROR(INDEX(APU_Resumen!$C$6:$C$65,MATCH(H60,APU_Resumen!$A$6:$A$65,0)),""))</f>
        <v/>
      </c>
      <c r="G60" s="28"/>
      <c r="H60" s="17"/>
      <c r="I60" s="23" t="str">
        <f aca="false">IF(H60="","",IFERROR(INDEX(APU_Resumen!$H$6:$H$65,MATCH(H60,APU_Resumen!$A$6:$A$65,0)),"Sin APU"))</f>
        <v/>
      </c>
      <c r="J60" s="23" t="str">
        <f aca="false">IF(OR(G60="",NOT(ISNUMBER(I60))),"",G60*I60)</f>
        <v/>
      </c>
      <c r="K60" s="29" t="str">
        <f aca="false">IF(OR(J60="",$J$3=0),"",J60/$J$3)</f>
        <v/>
      </c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9" t="str">
        <f aca="false">IF(H61="","",IFERROR(INDEX(APU_Resumen!$C$6:$C$65,MATCH(H61,APU_Resumen!$A$6:$A$65,0)),""))</f>
        <v/>
      </c>
      <c r="G61" s="28"/>
      <c r="H61" s="17"/>
      <c r="I61" s="23" t="str">
        <f aca="false">IF(H61="","",IFERROR(INDEX(APU_Resumen!$H$6:$H$65,MATCH(H61,APU_Resumen!$A$6:$A$65,0)),"Sin APU"))</f>
        <v/>
      </c>
      <c r="J61" s="23" t="str">
        <f aca="false">IF(OR(G61="",NOT(ISNUMBER(I61))),"",G61*I61)</f>
        <v/>
      </c>
      <c r="K61" s="29" t="str">
        <f aca="false">IF(OR(J61="",$J$3=0),"",J61/$J$3)</f>
        <v/>
      </c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9" t="str">
        <f aca="false">IF(H62="","",IFERROR(INDEX(APU_Resumen!$C$6:$C$65,MATCH(H62,APU_Resumen!$A$6:$A$65,0)),""))</f>
        <v/>
      </c>
      <c r="G62" s="28"/>
      <c r="H62" s="17"/>
      <c r="I62" s="23" t="str">
        <f aca="false">IF(H62="","",IFERROR(INDEX(APU_Resumen!$H$6:$H$65,MATCH(H62,APU_Resumen!$A$6:$A$65,0)),"Sin APU"))</f>
        <v/>
      </c>
      <c r="J62" s="23" t="str">
        <f aca="false">IF(OR(G62="",NOT(ISNUMBER(I62))),"",G62*I62)</f>
        <v/>
      </c>
      <c r="K62" s="29" t="str">
        <f aca="false">IF(OR(J62="",$J$3=0),"",J62/$J$3)</f>
        <v/>
      </c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9" t="str">
        <f aca="false">IF(H63="","",IFERROR(INDEX(APU_Resumen!$C$6:$C$65,MATCH(H63,APU_Resumen!$A$6:$A$65,0)),""))</f>
        <v/>
      </c>
      <c r="G63" s="28"/>
      <c r="H63" s="17"/>
      <c r="I63" s="23" t="str">
        <f aca="false">IF(H63="","",IFERROR(INDEX(APU_Resumen!$H$6:$H$65,MATCH(H63,APU_Resumen!$A$6:$A$65,0)),"Sin APU"))</f>
        <v/>
      </c>
      <c r="J63" s="23" t="str">
        <f aca="false">IF(OR(G63="",NOT(ISNUMBER(I63))),"",G63*I63)</f>
        <v/>
      </c>
      <c r="K63" s="29" t="str">
        <f aca="false">IF(OR(J63="",$J$3=0),"",J63/$J$3)</f>
        <v/>
      </c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9" t="str">
        <f aca="false">IF(H64="","",IFERROR(INDEX(APU_Resumen!$C$6:$C$65,MATCH(H64,APU_Resumen!$A$6:$A$65,0)),""))</f>
        <v/>
      </c>
      <c r="G64" s="28"/>
      <c r="H64" s="17"/>
      <c r="I64" s="23" t="str">
        <f aca="false">IF(H64="","",IFERROR(INDEX(APU_Resumen!$H$6:$H$65,MATCH(H64,APU_Resumen!$A$6:$A$65,0)),"Sin APU"))</f>
        <v/>
      </c>
      <c r="J64" s="23" t="str">
        <f aca="false">IF(OR(G64="",NOT(ISNUMBER(I64))),"",G64*I64)</f>
        <v/>
      </c>
      <c r="K64" s="29" t="str">
        <f aca="false">IF(OR(J64="",$J$3=0),"",J64/$J$3)</f>
        <v/>
      </c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9" t="str">
        <f aca="false">IF(H65="","",IFERROR(INDEX(APU_Resumen!$C$6:$C$65,MATCH(H65,APU_Resumen!$A$6:$A$65,0)),""))</f>
        <v/>
      </c>
      <c r="G65" s="28"/>
      <c r="H65" s="17"/>
      <c r="I65" s="23" t="str">
        <f aca="false">IF(H65="","",IFERROR(INDEX(APU_Resumen!$H$6:$H$65,MATCH(H65,APU_Resumen!$A$6:$A$65,0)),"Sin APU"))</f>
        <v/>
      </c>
      <c r="J65" s="23" t="str">
        <f aca="false">IF(OR(G65="",NOT(ISNUMBER(I65))),"",G65*I65)</f>
        <v/>
      </c>
      <c r="K65" s="29" t="str">
        <f aca="false">IF(OR(J65="",$J$3=0),"",J65/$J$3)</f>
        <v/>
      </c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9" t="str">
        <f aca="false">IF(H66="","",IFERROR(INDEX(APU_Resumen!$C$6:$C$65,MATCH(H66,APU_Resumen!$A$6:$A$65,0)),""))</f>
        <v/>
      </c>
      <c r="G66" s="28"/>
      <c r="H66" s="17"/>
      <c r="I66" s="23" t="str">
        <f aca="false">IF(H66="","",IFERROR(INDEX(APU_Resumen!$H$6:$H$65,MATCH(H66,APU_Resumen!$A$6:$A$65,0)),"Sin APU"))</f>
        <v/>
      </c>
      <c r="J66" s="23" t="str">
        <f aca="false">IF(OR(G66="",NOT(ISNUMBER(I66))),"",G66*I66)</f>
        <v/>
      </c>
      <c r="K66" s="29" t="str">
        <f aca="false">IF(OR(J66="",$J$3=0),"",J66/$J$3)</f>
        <v/>
      </c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9" t="str">
        <f aca="false">IF(H67="","",IFERROR(INDEX(APU_Resumen!$C$6:$C$65,MATCH(H67,APU_Resumen!$A$6:$A$65,0)),""))</f>
        <v/>
      </c>
      <c r="G67" s="28"/>
      <c r="H67" s="17"/>
      <c r="I67" s="23" t="str">
        <f aca="false">IF(H67="","",IFERROR(INDEX(APU_Resumen!$H$6:$H$65,MATCH(H67,APU_Resumen!$A$6:$A$65,0)),"Sin APU"))</f>
        <v/>
      </c>
      <c r="J67" s="23" t="str">
        <f aca="false">IF(OR(G67="",NOT(ISNUMBER(I67))),"",G67*I67)</f>
        <v/>
      </c>
      <c r="K67" s="29" t="str">
        <f aca="false">IF(OR(J67="",$J$3=0),"",J67/$J$3)</f>
        <v/>
      </c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9" t="str">
        <f aca="false">IF(H68="","",IFERROR(INDEX(APU_Resumen!$C$6:$C$65,MATCH(H68,APU_Resumen!$A$6:$A$65,0)),""))</f>
        <v/>
      </c>
      <c r="G68" s="28"/>
      <c r="H68" s="17"/>
      <c r="I68" s="23" t="str">
        <f aca="false">IF(H68="","",IFERROR(INDEX(APU_Resumen!$H$6:$H$65,MATCH(H68,APU_Resumen!$A$6:$A$65,0)),"Sin APU"))</f>
        <v/>
      </c>
      <c r="J68" s="23" t="str">
        <f aca="false">IF(OR(G68="",NOT(ISNUMBER(I68))),"",G68*I68)</f>
        <v/>
      </c>
      <c r="K68" s="29" t="str">
        <f aca="false">IF(OR(J68="",$J$3=0),"",J68/$J$3)</f>
        <v/>
      </c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9" t="str">
        <f aca="false">IF(H69="","",IFERROR(INDEX(APU_Resumen!$C$6:$C$65,MATCH(H69,APU_Resumen!$A$6:$A$65,0)),""))</f>
        <v/>
      </c>
      <c r="G69" s="28"/>
      <c r="H69" s="17"/>
      <c r="I69" s="23" t="str">
        <f aca="false">IF(H69="","",IFERROR(INDEX(APU_Resumen!$H$6:$H$65,MATCH(H69,APU_Resumen!$A$6:$A$65,0)),"Sin APU"))</f>
        <v/>
      </c>
      <c r="J69" s="23" t="str">
        <f aca="false">IF(OR(G69="",NOT(ISNUMBER(I69))),"",G69*I69)</f>
        <v/>
      </c>
      <c r="K69" s="29" t="str">
        <f aca="false">IF(OR(J69="",$J$3=0),"",J69/$J$3)</f>
        <v/>
      </c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9" t="str">
        <f aca="false">IF(H70="","",IFERROR(INDEX(APU_Resumen!$C$6:$C$65,MATCH(H70,APU_Resumen!$A$6:$A$65,0)),""))</f>
        <v/>
      </c>
      <c r="G70" s="28"/>
      <c r="H70" s="17"/>
      <c r="I70" s="23" t="str">
        <f aca="false">IF(H70="","",IFERROR(INDEX(APU_Resumen!$H$6:$H$65,MATCH(H70,APU_Resumen!$A$6:$A$65,0)),"Sin APU"))</f>
        <v/>
      </c>
      <c r="J70" s="23" t="str">
        <f aca="false">IF(OR(G70="",NOT(ISNUMBER(I70))),"",G70*I70)</f>
        <v/>
      </c>
      <c r="K70" s="29" t="str">
        <f aca="false">IF(OR(J70="",$J$3=0),"",J70/$J$3)</f>
        <v/>
      </c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9" t="str">
        <f aca="false">IF(H71="","",IFERROR(INDEX(APU_Resumen!$C$6:$C$65,MATCH(H71,APU_Resumen!$A$6:$A$65,0)),""))</f>
        <v/>
      </c>
      <c r="G71" s="28"/>
      <c r="H71" s="17"/>
      <c r="I71" s="23" t="str">
        <f aca="false">IF(H71="","",IFERROR(INDEX(APU_Resumen!$H$6:$H$65,MATCH(H71,APU_Resumen!$A$6:$A$65,0)),"Sin APU"))</f>
        <v/>
      </c>
      <c r="J71" s="23" t="str">
        <f aca="false">IF(OR(G71="",NOT(ISNUMBER(I71))),"",G71*I71)</f>
        <v/>
      </c>
      <c r="K71" s="29" t="str">
        <f aca="false">IF(OR(J71="",$J$3=0),"",J71/$J$3)</f>
        <v/>
      </c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9" t="str">
        <f aca="false">IF(H72="","",IFERROR(INDEX(APU_Resumen!$C$6:$C$65,MATCH(H72,APU_Resumen!$A$6:$A$65,0)),""))</f>
        <v/>
      </c>
      <c r="G72" s="28"/>
      <c r="H72" s="17"/>
      <c r="I72" s="23" t="str">
        <f aca="false">IF(H72="","",IFERROR(INDEX(APU_Resumen!$H$6:$H$65,MATCH(H72,APU_Resumen!$A$6:$A$65,0)),"Sin APU"))</f>
        <v/>
      </c>
      <c r="J72" s="23" t="str">
        <f aca="false">IF(OR(G72="",NOT(ISNUMBER(I72))),"",G72*I72)</f>
        <v/>
      </c>
      <c r="K72" s="29" t="str">
        <f aca="false">IF(OR(J72="",$J$3=0),"",J72/$J$3)</f>
        <v/>
      </c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9" t="str">
        <f aca="false">IF(H73="","",IFERROR(INDEX(APU_Resumen!$C$6:$C$65,MATCH(H73,APU_Resumen!$A$6:$A$65,0)),""))</f>
        <v/>
      </c>
      <c r="G73" s="28"/>
      <c r="H73" s="17"/>
      <c r="I73" s="23" t="str">
        <f aca="false">IF(H73="","",IFERROR(INDEX(APU_Resumen!$H$6:$H$65,MATCH(H73,APU_Resumen!$A$6:$A$65,0)),"Sin APU"))</f>
        <v/>
      </c>
      <c r="J73" s="23" t="str">
        <f aca="false">IF(OR(G73="",NOT(ISNUMBER(I73))),"",G73*I73)</f>
        <v/>
      </c>
      <c r="K73" s="29" t="str">
        <f aca="false">IF(OR(J73="",$J$3=0),"",J73/$J$3)</f>
        <v/>
      </c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9" t="str">
        <f aca="false">IF(H74="","",IFERROR(INDEX(APU_Resumen!$C$6:$C$65,MATCH(H74,APU_Resumen!$A$6:$A$65,0)),""))</f>
        <v/>
      </c>
      <c r="G74" s="28"/>
      <c r="H74" s="17"/>
      <c r="I74" s="23" t="str">
        <f aca="false">IF(H74="","",IFERROR(INDEX(APU_Resumen!$H$6:$H$65,MATCH(H74,APU_Resumen!$A$6:$A$65,0)),"Sin APU"))</f>
        <v/>
      </c>
      <c r="J74" s="23" t="str">
        <f aca="false">IF(OR(G74="",NOT(ISNUMBER(I74))),"",G74*I74)</f>
        <v/>
      </c>
      <c r="K74" s="29" t="str">
        <f aca="false">IF(OR(J74="",$J$3=0),"",J74/$J$3)</f>
        <v/>
      </c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9" t="str">
        <f aca="false">IF(H75="","",IFERROR(INDEX(APU_Resumen!$C$6:$C$65,MATCH(H75,APU_Resumen!$A$6:$A$65,0)),""))</f>
        <v/>
      </c>
      <c r="G75" s="28"/>
      <c r="H75" s="17"/>
      <c r="I75" s="23" t="str">
        <f aca="false">IF(H75="","",IFERROR(INDEX(APU_Resumen!$H$6:$H$65,MATCH(H75,APU_Resumen!$A$6:$A$65,0)),"Sin APU"))</f>
        <v/>
      </c>
      <c r="J75" s="23" t="str">
        <f aca="false">IF(OR(G75="",NOT(ISNUMBER(I75))),"",G75*I75)</f>
        <v/>
      </c>
      <c r="K75" s="29" t="str">
        <f aca="false">IF(OR(J75="",$J$3=0),"",J75/$J$3)</f>
        <v/>
      </c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9" t="str">
        <f aca="false">IF(H76="","",IFERROR(INDEX(APU_Resumen!$C$6:$C$65,MATCH(H76,APU_Resumen!$A$6:$A$65,0)),""))</f>
        <v/>
      </c>
      <c r="G76" s="28"/>
      <c r="H76" s="17"/>
      <c r="I76" s="23" t="str">
        <f aca="false">IF(H76="","",IFERROR(INDEX(APU_Resumen!$H$6:$H$65,MATCH(H76,APU_Resumen!$A$6:$A$65,0)),"Sin APU"))</f>
        <v/>
      </c>
      <c r="J76" s="23" t="str">
        <f aca="false">IF(OR(G76="",NOT(ISNUMBER(I76))),"",G76*I76)</f>
        <v/>
      </c>
      <c r="K76" s="29" t="str">
        <f aca="false">IF(OR(J76="",$J$3=0),"",J76/$J$3)</f>
        <v/>
      </c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9" t="str">
        <f aca="false">IF(H77="","",IFERROR(INDEX(APU_Resumen!$C$6:$C$65,MATCH(H77,APU_Resumen!$A$6:$A$65,0)),""))</f>
        <v/>
      </c>
      <c r="G77" s="28"/>
      <c r="H77" s="17"/>
      <c r="I77" s="23" t="str">
        <f aca="false">IF(H77="","",IFERROR(INDEX(APU_Resumen!$H$6:$H$65,MATCH(H77,APU_Resumen!$A$6:$A$65,0)),"Sin APU"))</f>
        <v/>
      </c>
      <c r="J77" s="23" t="str">
        <f aca="false">IF(OR(G77="",NOT(ISNUMBER(I77))),"",G77*I77)</f>
        <v/>
      </c>
      <c r="K77" s="29" t="str">
        <f aca="false">IF(OR(J77="",$J$3=0),"",J77/$J$3)</f>
        <v/>
      </c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9" t="str">
        <f aca="false">IF(H78="","",IFERROR(INDEX(APU_Resumen!$C$6:$C$65,MATCH(H78,APU_Resumen!$A$6:$A$65,0)),""))</f>
        <v/>
      </c>
      <c r="G78" s="28"/>
      <c r="H78" s="17"/>
      <c r="I78" s="23" t="str">
        <f aca="false">IF(H78="","",IFERROR(INDEX(APU_Resumen!$H$6:$H$65,MATCH(H78,APU_Resumen!$A$6:$A$65,0)),"Sin APU"))</f>
        <v/>
      </c>
      <c r="J78" s="23" t="str">
        <f aca="false">IF(OR(G78="",NOT(ISNUMBER(I78))),"",G78*I78)</f>
        <v/>
      </c>
      <c r="K78" s="29" t="str">
        <f aca="false">IF(OR(J78="",$J$3=0),"",J78/$J$3)</f>
        <v/>
      </c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9" t="str">
        <f aca="false">IF(H79="","",IFERROR(INDEX(APU_Resumen!$C$6:$C$65,MATCH(H79,APU_Resumen!$A$6:$A$65,0)),""))</f>
        <v/>
      </c>
      <c r="G79" s="28"/>
      <c r="H79" s="17"/>
      <c r="I79" s="23" t="str">
        <f aca="false">IF(H79="","",IFERROR(INDEX(APU_Resumen!$H$6:$H$65,MATCH(H79,APU_Resumen!$A$6:$A$65,0)),"Sin APU"))</f>
        <v/>
      </c>
      <c r="J79" s="23" t="str">
        <f aca="false">IF(OR(G79="",NOT(ISNUMBER(I79))),"",G79*I79)</f>
        <v/>
      </c>
      <c r="K79" s="29" t="str">
        <f aca="false">IF(OR(J79="",$J$3=0),"",J79/$J$3)</f>
        <v/>
      </c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9" t="str">
        <f aca="false">IF(H80="","",IFERROR(INDEX(APU_Resumen!$C$6:$C$65,MATCH(H80,APU_Resumen!$A$6:$A$65,0)),""))</f>
        <v/>
      </c>
      <c r="G80" s="28"/>
      <c r="H80" s="17"/>
      <c r="I80" s="23" t="str">
        <f aca="false">IF(H80="","",IFERROR(INDEX(APU_Resumen!$H$6:$H$65,MATCH(H80,APU_Resumen!$A$6:$A$65,0)),"Sin APU"))</f>
        <v/>
      </c>
      <c r="J80" s="23" t="str">
        <f aca="false">IF(OR(G80="",NOT(ISNUMBER(I80))),"",G80*I80)</f>
        <v/>
      </c>
      <c r="K80" s="29" t="str">
        <f aca="false">IF(OR(J80="",$J$3=0),"",J80/$J$3)</f>
        <v/>
      </c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9" t="str">
        <f aca="false">IF(H81="","",IFERROR(INDEX(APU_Resumen!$C$6:$C$65,MATCH(H81,APU_Resumen!$A$6:$A$65,0)),""))</f>
        <v/>
      </c>
      <c r="G81" s="28"/>
      <c r="H81" s="17"/>
      <c r="I81" s="23" t="str">
        <f aca="false">IF(H81="","",IFERROR(INDEX(APU_Resumen!$H$6:$H$65,MATCH(H81,APU_Resumen!$A$6:$A$65,0)),"Sin APU"))</f>
        <v/>
      </c>
      <c r="J81" s="23" t="str">
        <f aca="false">IF(OR(G81="",NOT(ISNUMBER(I81))),"",G81*I81)</f>
        <v/>
      </c>
      <c r="K81" s="29" t="str">
        <f aca="false">IF(OR(J81="",$J$3=0),"",J81/$J$3)</f>
        <v/>
      </c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9" t="str">
        <f aca="false">IF(H82="","",IFERROR(INDEX(APU_Resumen!$C$6:$C$65,MATCH(H82,APU_Resumen!$A$6:$A$65,0)),""))</f>
        <v/>
      </c>
      <c r="G82" s="28"/>
      <c r="H82" s="17"/>
      <c r="I82" s="23" t="str">
        <f aca="false">IF(H82="","",IFERROR(INDEX(APU_Resumen!$H$6:$H$65,MATCH(H82,APU_Resumen!$A$6:$A$65,0)),"Sin APU"))</f>
        <v/>
      </c>
      <c r="J82" s="23" t="str">
        <f aca="false">IF(OR(G82="",NOT(ISNUMBER(I82))),"",G82*I82)</f>
        <v/>
      </c>
      <c r="K82" s="29" t="str">
        <f aca="false">IF(OR(J82="",$J$3=0),"",J82/$J$3)</f>
        <v/>
      </c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9" t="str">
        <f aca="false">IF(H83="","",IFERROR(INDEX(APU_Resumen!$C$6:$C$65,MATCH(H83,APU_Resumen!$A$6:$A$65,0)),""))</f>
        <v/>
      </c>
      <c r="G83" s="28"/>
      <c r="H83" s="17"/>
      <c r="I83" s="23" t="str">
        <f aca="false">IF(H83="","",IFERROR(INDEX(APU_Resumen!$H$6:$H$65,MATCH(H83,APU_Resumen!$A$6:$A$65,0)),"Sin APU"))</f>
        <v/>
      </c>
      <c r="J83" s="23" t="str">
        <f aca="false">IF(OR(G83="",NOT(ISNUMBER(I83))),"",G83*I83)</f>
        <v/>
      </c>
      <c r="K83" s="29" t="str">
        <f aca="false">IF(OR(J83="",$J$3=0),"",J83/$J$3)</f>
        <v/>
      </c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9" t="str">
        <f aca="false">IF(H84="","",IFERROR(INDEX(APU_Resumen!$C$6:$C$65,MATCH(H84,APU_Resumen!$A$6:$A$65,0)),""))</f>
        <v/>
      </c>
      <c r="G84" s="28"/>
      <c r="H84" s="17"/>
      <c r="I84" s="23" t="str">
        <f aca="false">IF(H84="","",IFERROR(INDEX(APU_Resumen!$H$6:$H$65,MATCH(H84,APU_Resumen!$A$6:$A$65,0)),"Sin APU"))</f>
        <v/>
      </c>
      <c r="J84" s="23" t="str">
        <f aca="false">IF(OR(G84="",NOT(ISNUMBER(I84))),"",G84*I84)</f>
        <v/>
      </c>
      <c r="K84" s="29" t="str">
        <f aca="false">IF(OR(J84="",$J$3=0),"",J84/$J$3)</f>
        <v/>
      </c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9" t="str">
        <f aca="false">IF(H85="","",IFERROR(INDEX(APU_Resumen!$C$6:$C$65,MATCH(H85,APU_Resumen!$A$6:$A$65,0)),""))</f>
        <v/>
      </c>
      <c r="G85" s="28"/>
      <c r="H85" s="17"/>
      <c r="I85" s="23" t="str">
        <f aca="false">IF(H85="","",IFERROR(INDEX(APU_Resumen!$H$6:$H$65,MATCH(H85,APU_Resumen!$A$6:$A$65,0)),"Sin APU"))</f>
        <v/>
      </c>
      <c r="J85" s="23" t="str">
        <f aca="false">IF(OR(G85="",NOT(ISNUMBER(I85))),"",G85*I85)</f>
        <v/>
      </c>
      <c r="K85" s="29" t="str">
        <f aca="false">IF(OR(J85="",$J$3=0),"",J85/$J$3)</f>
        <v/>
      </c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9" t="str">
        <f aca="false">IF(H86="","",IFERROR(INDEX(APU_Resumen!$C$6:$C$65,MATCH(H86,APU_Resumen!$A$6:$A$65,0)),""))</f>
        <v/>
      </c>
      <c r="G86" s="28"/>
      <c r="H86" s="17"/>
      <c r="I86" s="23" t="str">
        <f aca="false">IF(H86="","",IFERROR(INDEX(APU_Resumen!$H$6:$H$65,MATCH(H86,APU_Resumen!$A$6:$A$65,0)),"Sin APU"))</f>
        <v/>
      </c>
      <c r="J86" s="23" t="str">
        <f aca="false">IF(OR(G86="",NOT(ISNUMBER(I86))),"",G86*I86)</f>
        <v/>
      </c>
      <c r="K86" s="29" t="str">
        <f aca="false">IF(OR(J86="",$J$3=0),"",J86/$J$3)</f>
        <v/>
      </c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9" t="str">
        <f aca="false">IF(H87="","",IFERROR(INDEX(APU_Resumen!$C$6:$C$65,MATCH(H87,APU_Resumen!$A$6:$A$65,0)),""))</f>
        <v/>
      </c>
      <c r="G87" s="28"/>
      <c r="H87" s="17"/>
      <c r="I87" s="23" t="str">
        <f aca="false">IF(H87="","",IFERROR(INDEX(APU_Resumen!$H$6:$H$65,MATCH(H87,APU_Resumen!$A$6:$A$65,0)),"Sin APU"))</f>
        <v/>
      </c>
      <c r="J87" s="23" t="str">
        <f aca="false">IF(OR(G87="",NOT(ISNUMBER(I87))),"",G87*I87)</f>
        <v/>
      </c>
      <c r="K87" s="29" t="str">
        <f aca="false">IF(OR(J87="",$J$3=0),"",J87/$J$3)</f>
        <v/>
      </c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9" t="str">
        <f aca="false">IF(H88="","",IFERROR(INDEX(APU_Resumen!$C$6:$C$65,MATCH(H88,APU_Resumen!$A$6:$A$65,0)),""))</f>
        <v/>
      </c>
      <c r="G88" s="28"/>
      <c r="H88" s="17"/>
      <c r="I88" s="23" t="str">
        <f aca="false">IF(H88="","",IFERROR(INDEX(APU_Resumen!$H$6:$H$65,MATCH(H88,APU_Resumen!$A$6:$A$65,0)),"Sin APU"))</f>
        <v/>
      </c>
      <c r="J88" s="23" t="str">
        <f aca="false">IF(OR(G88="",NOT(ISNUMBER(I88))),"",G88*I88)</f>
        <v/>
      </c>
      <c r="K88" s="29" t="str">
        <f aca="false">IF(OR(J88="",$J$3=0),"",J88/$J$3)</f>
        <v/>
      </c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9" t="str">
        <f aca="false">IF(H89="","",IFERROR(INDEX(APU_Resumen!$C$6:$C$65,MATCH(H89,APU_Resumen!$A$6:$A$65,0)),""))</f>
        <v/>
      </c>
      <c r="G89" s="28"/>
      <c r="H89" s="17"/>
      <c r="I89" s="23" t="str">
        <f aca="false">IF(H89="","",IFERROR(INDEX(APU_Resumen!$H$6:$H$65,MATCH(H89,APU_Resumen!$A$6:$A$65,0)),"Sin APU"))</f>
        <v/>
      </c>
      <c r="J89" s="23" t="str">
        <f aca="false">IF(OR(G89="",NOT(ISNUMBER(I89))),"",G89*I89)</f>
        <v/>
      </c>
      <c r="K89" s="29" t="str">
        <f aca="false">IF(OR(J89="",$J$3=0),"",J89/$J$3)</f>
        <v/>
      </c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9" t="str">
        <f aca="false">IF(H90="","",IFERROR(INDEX(APU_Resumen!$C$6:$C$65,MATCH(H90,APU_Resumen!$A$6:$A$65,0)),""))</f>
        <v/>
      </c>
      <c r="G90" s="28"/>
      <c r="H90" s="17"/>
      <c r="I90" s="23" t="str">
        <f aca="false">IF(H90="","",IFERROR(INDEX(APU_Resumen!$H$6:$H$65,MATCH(H90,APU_Resumen!$A$6:$A$65,0)),"Sin APU"))</f>
        <v/>
      </c>
      <c r="J90" s="23" t="str">
        <f aca="false">IF(OR(G90="",NOT(ISNUMBER(I90))),"",G90*I90)</f>
        <v/>
      </c>
      <c r="K90" s="29" t="str">
        <f aca="false">IF(OR(J90="",$J$3=0),"",J90/$J$3)</f>
        <v/>
      </c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9" t="str">
        <f aca="false">IF(H91="","",IFERROR(INDEX(APU_Resumen!$C$6:$C$65,MATCH(H91,APU_Resumen!$A$6:$A$65,0)),""))</f>
        <v/>
      </c>
      <c r="G91" s="28"/>
      <c r="H91" s="17"/>
      <c r="I91" s="23" t="str">
        <f aca="false">IF(H91="","",IFERROR(INDEX(APU_Resumen!$H$6:$H$65,MATCH(H91,APU_Resumen!$A$6:$A$65,0)),"Sin APU"))</f>
        <v/>
      </c>
      <c r="J91" s="23" t="str">
        <f aca="false">IF(OR(G91="",NOT(ISNUMBER(I91))),"",G91*I91)</f>
        <v/>
      </c>
      <c r="K91" s="29" t="str">
        <f aca="false">IF(OR(J91="",$J$3=0),"",J91/$J$3)</f>
        <v/>
      </c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9" t="str">
        <f aca="false">IF(H92="","",IFERROR(INDEX(APU_Resumen!$C$6:$C$65,MATCH(H92,APU_Resumen!$A$6:$A$65,0)),""))</f>
        <v/>
      </c>
      <c r="G92" s="28"/>
      <c r="H92" s="17"/>
      <c r="I92" s="23" t="str">
        <f aca="false">IF(H92="","",IFERROR(INDEX(APU_Resumen!$H$6:$H$65,MATCH(H92,APU_Resumen!$A$6:$A$65,0)),"Sin APU"))</f>
        <v/>
      </c>
      <c r="J92" s="23" t="str">
        <f aca="false">IF(OR(G92="",NOT(ISNUMBER(I92))),"",G92*I92)</f>
        <v/>
      </c>
      <c r="K92" s="29" t="str">
        <f aca="false">IF(OR(J92="",$J$3=0),"",J92/$J$3)</f>
        <v/>
      </c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9" t="str">
        <f aca="false">IF(H93="","",IFERROR(INDEX(APU_Resumen!$C$6:$C$65,MATCH(H93,APU_Resumen!$A$6:$A$65,0)),""))</f>
        <v/>
      </c>
      <c r="G93" s="28"/>
      <c r="H93" s="17"/>
      <c r="I93" s="23" t="str">
        <f aca="false">IF(H93="","",IFERROR(INDEX(APU_Resumen!$H$6:$H$65,MATCH(H93,APU_Resumen!$A$6:$A$65,0)),"Sin APU"))</f>
        <v/>
      </c>
      <c r="J93" s="23" t="str">
        <f aca="false">IF(OR(G93="",NOT(ISNUMBER(I93))),"",G93*I93)</f>
        <v/>
      </c>
      <c r="K93" s="29" t="str">
        <f aca="false">IF(OR(J93="",$J$3=0),"",J93/$J$3)</f>
        <v/>
      </c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9" t="str">
        <f aca="false">IF(H94="","",IFERROR(INDEX(APU_Resumen!$C$6:$C$65,MATCH(H94,APU_Resumen!$A$6:$A$65,0)),""))</f>
        <v/>
      </c>
      <c r="G94" s="28"/>
      <c r="H94" s="17"/>
      <c r="I94" s="23" t="str">
        <f aca="false">IF(H94="","",IFERROR(INDEX(APU_Resumen!$H$6:$H$65,MATCH(H94,APU_Resumen!$A$6:$A$65,0)),"Sin APU"))</f>
        <v/>
      </c>
      <c r="J94" s="23" t="str">
        <f aca="false">IF(OR(G94="",NOT(ISNUMBER(I94))),"",G94*I94)</f>
        <v/>
      </c>
      <c r="K94" s="29" t="str">
        <f aca="false">IF(OR(J94="",$J$3=0),"",J94/$J$3)</f>
        <v/>
      </c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9" t="str">
        <f aca="false">IF(H95="","",IFERROR(INDEX(APU_Resumen!$C$6:$C$65,MATCH(H95,APU_Resumen!$A$6:$A$65,0)),""))</f>
        <v/>
      </c>
      <c r="G95" s="28"/>
      <c r="H95" s="17"/>
      <c r="I95" s="23" t="str">
        <f aca="false">IF(H95="","",IFERROR(INDEX(APU_Resumen!$H$6:$H$65,MATCH(H95,APU_Resumen!$A$6:$A$65,0)),"Sin APU"))</f>
        <v/>
      </c>
      <c r="J95" s="23" t="str">
        <f aca="false">IF(OR(G95="",NOT(ISNUMBER(I95))),"",G95*I95)</f>
        <v/>
      </c>
      <c r="K95" s="29" t="str">
        <f aca="false">IF(OR(J95="",$J$3=0),"",J95/$J$3)</f>
        <v/>
      </c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9" t="str">
        <f aca="false">IF(H96="","",IFERROR(INDEX(APU_Resumen!$C$6:$C$65,MATCH(H96,APU_Resumen!$A$6:$A$65,0)),""))</f>
        <v/>
      </c>
      <c r="G96" s="28"/>
      <c r="H96" s="17"/>
      <c r="I96" s="23" t="str">
        <f aca="false">IF(H96="","",IFERROR(INDEX(APU_Resumen!$H$6:$H$65,MATCH(H96,APU_Resumen!$A$6:$A$65,0)),"Sin APU"))</f>
        <v/>
      </c>
      <c r="J96" s="23" t="str">
        <f aca="false">IF(OR(G96="",NOT(ISNUMBER(I96))),"",G96*I96)</f>
        <v/>
      </c>
      <c r="K96" s="29" t="str">
        <f aca="false">IF(OR(J96="",$J$3=0),"",J96/$J$3)</f>
        <v/>
      </c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9" t="str">
        <f aca="false">IF(H97="","",IFERROR(INDEX(APU_Resumen!$C$6:$C$65,MATCH(H97,APU_Resumen!$A$6:$A$65,0)),""))</f>
        <v/>
      </c>
      <c r="G97" s="28"/>
      <c r="H97" s="17"/>
      <c r="I97" s="23" t="str">
        <f aca="false">IF(H97="","",IFERROR(INDEX(APU_Resumen!$H$6:$H$65,MATCH(H97,APU_Resumen!$A$6:$A$65,0)),"Sin APU"))</f>
        <v/>
      </c>
      <c r="J97" s="23" t="str">
        <f aca="false">IF(OR(G97="",NOT(ISNUMBER(I97))),"",G97*I97)</f>
        <v/>
      </c>
      <c r="K97" s="29" t="str">
        <f aca="false">IF(OR(J97="",$J$3=0),"",J97/$J$3)</f>
        <v/>
      </c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9" t="str">
        <f aca="false">IF(H98="","",IFERROR(INDEX(APU_Resumen!$C$6:$C$65,MATCH(H98,APU_Resumen!$A$6:$A$65,0)),""))</f>
        <v/>
      </c>
      <c r="G98" s="28"/>
      <c r="H98" s="17"/>
      <c r="I98" s="23" t="str">
        <f aca="false">IF(H98="","",IFERROR(INDEX(APU_Resumen!$H$6:$H$65,MATCH(H98,APU_Resumen!$A$6:$A$65,0)),"Sin APU"))</f>
        <v/>
      </c>
      <c r="J98" s="23" t="str">
        <f aca="false">IF(OR(G98="",NOT(ISNUMBER(I98))),"",G98*I98)</f>
        <v/>
      </c>
      <c r="K98" s="29" t="str">
        <f aca="false">IF(OR(J98="",$J$3=0),"",J98/$J$3)</f>
        <v/>
      </c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9" t="str">
        <f aca="false">IF(H99="","",IFERROR(INDEX(APU_Resumen!$C$6:$C$65,MATCH(H99,APU_Resumen!$A$6:$A$65,0)),""))</f>
        <v/>
      </c>
      <c r="G99" s="28"/>
      <c r="H99" s="17"/>
      <c r="I99" s="23" t="str">
        <f aca="false">IF(H99="","",IFERROR(INDEX(APU_Resumen!$H$6:$H$65,MATCH(H99,APU_Resumen!$A$6:$A$65,0)),"Sin APU"))</f>
        <v/>
      </c>
      <c r="J99" s="23" t="str">
        <f aca="false">IF(OR(G99="",NOT(ISNUMBER(I99))),"",G99*I99)</f>
        <v/>
      </c>
      <c r="K99" s="29" t="str">
        <f aca="false">IF(OR(J99="",$J$3=0),"",J99/$J$3)</f>
        <v/>
      </c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9" t="str">
        <f aca="false">IF(H100="","",IFERROR(INDEX(APU_Resumen!$C$6:$C$65,MATCH(H100,APU_Resumen!$A$6:$A$65,0)),""))</f>
        <v/>
      </c>
      <c r="G100" s="28"/>
      <c r="H100" s="17"/>
      <c r="I100" s="23" t="str">
        <f aca="false">IF(H100="","",IFERROR(INDEX(APU_Resumen!$H$6:$H$65,MATCH(H100,APU_Resumen!$A$6:$A$65,0)),"Sin APU"))</f>
        <v/>
      </c>
      <c r="J100" s="23" t="str">
        <f aca="false">IF(OR(G100="",NOT(ISNUMBER(I100))),"",G100*I100)</f>
        <v/>
      </c>
      <c r="K100" s="29" t="str">
        <f aca="false">IF(OR(J100="",$J$3=0),"",J100/$J$3)</f>
        <v/>
      </c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9" t="str">
        <f aca="false">IF(H101="","",IFERROR(INDEX(APU_Resumen!$C$6:$C$65,MATCH(H101,APU_Resumen!$A$6:$A$65,0)),""))</f>
        <v/>
      </c>
      <c r="G101" s="28"/>
      <c r="H101" s="17"/>
      <c r="I101" s="23" t="str">
        <f aca="false">IF(H101="","",IFERROR(INDEX(APU_Resumen!$H$6:$H$65,MATCH(H101,APU_Resumen!$A$6:$A$65,0)),"Sin APU"))</f>
        <v/>
      </c>
      <c r="J101" s="23" t="str">
        <f aca="false">IF(OR(G101="",NOT(ISNUMBER(I101))),"",G101*I101)</f>
        <v/>
      </c>
      <c r="K101" s="29" t="str">
        <f aca="false">IF(OR(J101="",$J$3=0),"",J101/$J$3)</f>
        <v/>
      </c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9" t="str">
        <f aca="false">IF(H102="","",IFERROR(INDEX(APU_Resumen!$C$6:$C$65,MATCH(H102,APU_Resumen!$A$6:$A$65,0)),""))</f>
        <v/>
      </c>
      <c r="G102" s="28"/>
      <c r="H102" s="17"/>
      <c r="I102" s="23" t="str">
        <f aca="false">IF(H102="","",IFERROR(INDEX(APU_Resumen!$H$6:$H$65,MATCH(H102,APU_Resumen!$A$6:$A$65,0)),"Sin APU"))</f>
        <v/>
      </c>
      <c r="J102" s="23" t="str">
        <f aca="false">IF(OR(G102="",NOT(ISNUMBER(I102))),"",G102*I102)</f>
        <v/>
      </c>
      <c r="K102" s="29" t="str">
        <f aca="false">IF(OR(J102="",$J$3=0),"",J102/$J$3)</f>
        <v/>
      </c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9" t="str">
        <f aca="false">IF(H103="","",IFERROR(INDEX(APU_Resumen!$C$6:$C$65,MATCH(H103,APU_Resumen!$A$6:$A$65,0)),""))</f>
        <v/>
      </c>
      <c r="G103" s="28"/>
      <c r="H103" s="17"/>
      <c r="I103" s="23" t="str">
        <f aca="false">IF(H103="","",IFERROR(INDEX(APU_Resumen!$H$6:$H$65,MATCH(H103,APU_Resumen!$A$6:$A$65,0)),"Sin APU"))</f>
        <v/>
      </c>
      <c r="J103" s="23" t="str">
        <f aca="false">IF(OR(G103="",NOT(ISNUMBER(I103))),"",G103*I103)</f>
        <v/>
      </c>
      <c r="K103" s="29" t="str">
        <f aca="false">IF(OR(J103="",$J$3=0),"",J103/$J$3)</f>
        <v/>
      </c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9" t="str">
        <f aca="false">IF(H104="","",IFERROR(INDEX(APU_Resumen!$C$6:$C$65,MATCH(H104,APU_Resumen!$A$6:$A$65,0)),""))</f>
        <v/>
      </c>
      <c r="G104" s="28"/>
      <c r="H104" s="17"/>
      <c r="I104" s="23" t="str">
        <f aca="false">IF(H104="","",IFERROR(INDEX(APU_Resumen!$H$6:$H$65,MATCH(H104,APU_Resumen!$A$6:$A$65,0)),"Sin APU"))</f>
        <v/>
      </c>
      <c r="J104" s="23" t="str">
        <f aca="false">IF(OR(G104="",NOT(ISNUMBER(I104))),"",G104*I104)</f>
        <v/>
      </c>
      <c r="K104" s="29" t="str">
        <f aca="false">IF(OR(J104="",$J$3=0),"",J104/$J$3)</f>
        <v/>
      </c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9" t="str">
        <f aca="false">IF(H105="","",IFERROR(INDEX(APU_Resumen!$C$6:$C$65,MATCH(H105,APU_Resumen!$A$6:$A$65,0)),""))</f>
        <v/>
      </c>
      <c r="G105" s="28"/>
      <c r="H105" s="17"/>
      <c r="I105" s="23" t="str">
        <f aca="false">IF(H105="","",IFERROR(INDEX(APU_Resumen!$H$6:$H$65,MATCH(H105,APU_Resumen!$A$6:$A$65,0)),"Sin APU"))</f>
        <v/>
      </c>
      <c r="J105" s="23" t="str">
        <f aca="false">IF(OR(G105="",NOT(ISNUMBER(I105))),"",G105*I105)</f>
        <v/>
      </c>
      <c r="K105" s="29" t="str">
        <f aca="false">IF(OR(J105="",$J$3=0),"",J105/$J$3)</f>
        <v/>
      </c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9" t="str">
        <f aca="false">IF(H106="","",IFERROR(INDEX(APU_Resumen!$C$6:$C$65,MATCH(H106,APU_Resumen!$A$6:$A$65,0)),""))</f>
        <v/>
      </c>
      <c r="G106" s="28"/>
      <c r="H106" s="17"/>
      <c r="I106" s="23" t="str">
        <f aca="false">IF(H106="","",IFERROR(INDEX(APU_Resumen!$H$6:$H$65,MATCH(H106,APU_Resumen!$A$6:$A$65,0)),"Sin APU"))</f>
        <v/>
      </c>
      <c r="J106" s="23" t="str">
        <f aca="false">IF(OR(G106="",NOT(ISNUMBER(I106))),"",G106*I106)</f>
        <v/>
      </c>
      <c r="K106" s="29" t="str">
        <f aca="false">IF(OR(J106="",$J$3=0),"",J106/$J$3)</f>
        <v/>
      </c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9" t="str">
        <f aca="false">IF(H107="","",IFERROR(INDEX(APU_Resumen!$C$6:$C$65,MATCH(H107,APU_Resumen!$A$6:$A$65,0)),""))</f>
        <v/>
      </c>
      <c r="G107" s="28"/>
      <c r="H107" s="17"/>
      <c r="I107" s="23" t="str">
        <f aca="false">IF(H107="","",IFERROR(INDEX(APU_Resumen!$H$6:$H$65,MATCH(H107,APU_Resumen!$A$6:$A$65,0)),"Sin APU"))</f>
        <v/>
      </c>
      <c r="J107" s="23" t="str">
        <f aca="false">IF(OR(G107="",NOT(ISNUMBER(I107))),"",G107*I107)</f>
        <v/>
      </c>
      <c r="K107" s="29" t="str">
        <f aca="false">IF(OR(J107="",$J$3=0),"",J107/$J$3)</f>
        <v/>
      </c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9" t="str">
        <f aca="false">IF(H108="","",IFERROR(INDEX(APU_Resumen!$C$6:$C$65,MATCH(H108,APU_Resumen!$A$6:$A$65,0)),""))</f>
        <v/>
      </c>
      <c r="G108" s="28"/>
      <c r="H108" s="17"/>
      <c r="I108" s="23" t="str">
        <f aca="false">IF(H108="","",IFERROR(INDEX(APU_Resumen!$H$6:$H$65,MATCH(H108,APU_Resumen!$A$6:$A$65,0)),"Sin APU"))</f>
        <v/>
      </c>
      <c r="J108" s="23" t="str">
        <f aca="false">IF(OR(G108="",NOT(ISNUMBER(I108))),"",G108*I108)</f>
        <v/>
      </c>
      <c r="K108" s="29" t="str">
        <f aca="false">IF(OR(J108="",$J$3=0),"",J108/$J$3)</f>
        <v/>
      </c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9" t="str">
        <f aca="false">IF(H109="","",IFERROR(INDEX(APU_Resumen!$C$6:$C$65,MATCH(H109,APU_Resumen!$A$6:$A$65,0)),""))</f>
        <v/>
      </c>
      <c r="G109" s="28"/>
      <c r="H109" s="17"/>
      <c r="I109" s="23" t="str">
        <f aca="false">IF(H109="","",IFERROR(INDEX(APU_Resumen!$H$6:$H$65,MATCH(H109,APU_Resumen!$A$6:$A$65,0)),"Sin APU"))</f>
        <v/>
      </c>
      <c r="J109" s="23" t="str">
        <f aca="false">IF(OR(G109="",NOT(ISNUMBER(I109))),"",G109*I109)</f>
        <v/>
      </c>
      <c r="K109" s="29" t="str">
        <f aca="false">IF(OR(J109="",$J$3=0),"",J109/$J$3)</f>
        <v/>
      </c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9" t="str">
        <f aca="false">IF(H110="","",IFERROR(INDEX(APU_Resumen!$C$6:$C$65,MATCH(H110,APU_Resumen!$A$6:$A$65,0)),""))</f>
        <v/>
      </c>
      <c r="G110" s="28"/>
      <c r="H110" s="17"/>
      <c r="I110" s="23" t="str">
        <f aca="false">IF(H110="","",IFERROR(INDEX(APU_Resumen!$H$6:$H$65,MATCH(H110,APU_Resumen!$A$6:$A$65,0)),"Sin APU"))</f>
        <v/>
      </c>
      <c r="J110" s="23" t="str">
        <f aca="false">IF(OR(G110="",NOT(ISNUMBER(I110))),"",G110*I110)</f>
        <v/>
      </c>
      <c r="K110" s="29" t="str">
        <f aca="false">IF(OR(J110="",$J$3=0),"",J110/$J$3)</f>
        <v/>
      </c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9" t="str">
        <f aca="false">IF(H111="","",IFERROR(INDEX(APU_Resumen!$C$6:$C$65,MATCH(H111,APU_Resumen!$A$6:$A$65,0)),""))</f>
        <v/>
      </c>
      <c r="G111" s="28"/>
      <c r="H111" s="17"/>
      <c r="I111" s="23" t="str">
        <f aca="false">IF(H111="","",IFERROR(INDEX(APU_Resumen!$H$6:$H$65,MATCH(H111,APU_Resumen!$A$6:$A$65,0)),"Sin APU"))</f>
        <v/>
      </c>
      <c r="J111" s="23" t="str">
        <f aca="false">IF(OR(G111="",NOT(ISNUMBER(I111))),"",G111*I111)</f>
        <v/>
      </c>
      <c r="K111" s="29" t="str">
        <f aca="false">IF(OR(J111="",$J$3=0),"",J111/$J$3)</f>
        <v/>
      </c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9" t="str">
        <f aca="false">IF(H112="","",IFERROR(INDEX(APU_Resumen!$C$6:$C$65,MATCH(H112,APU_Resumen!$A$6:$A$65,0)),""))</f>
        <v/>
      </c>
      <c r="G112" s="28"/>
      <c r="H112" s="17"/>
      <c r="I112" s="23" t="str">
        <f aca="false">IF(H112="","",IFERROR(INDEX(APU_Resumen!$H$6:$H$65,MATCH(H112,APU_Resumen!$A$6:$A$65,0)),"Sin APU"))</f>
        <v/>
      </c>
      <c r="J112" s="23" t="str">
        <f aca="false">IF(OR(G112="",NOT(ISNUMBER(I112))),"",G112*I112)</f>
        <v/>
      </c>
      <c r="K112" s="29" t="str">
        <f aca="false">IF(OR(J112="",$J$3=0),"",J112/$J$3)</f>
        <v/>
      </c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9" t="str">
        <f aca="false">IF(H113="","",IFERROR(INDEX(APU_Resumen!$C$6:$C$65,MATCH(H113,APU_Resumen!$A$6:$A$65,0)),""))</f>
        <v/>
      </c>
      <c r="G113" s="28"/>
      <c r="H113" s="17"/>
      <c r="I113" s="23" t="str">
        <f aca="false">IF(H113="","",IFERROR(INDEX(APU_Resumen!$H$6:$H$65,MATCH(H113,APU_Resumen!$A$6:$A$65,0)),"Sin APU"))</f>
        <v/>
      </c>
      <c r="J113" s="23" t="str">
        <f aca="false">IF(OR(G113="",NOT(ISNUMBER(I113))),"",G113*I113)</f>
        <v/>
      </c>
      <c r="K113" s="29" t="str">
        <f aca="false">IF(OR(J113="",$J$3=0),"",J113/$J$3)</f>
        <v/>
      </c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9" t="str">
        <f aca="false">IF(H114="","",IFERROR(INDEX(APU_Resumen!$C$6:$C$65,MATCH(H114,APU_Resumen!$A$6:$A$65,0)),""))</f>
        <v/>
      </c>
      <c r="G114" s="28"/>
      <c r="H114" s="17"/>
      <c r="I114" s="23" t="str">
        <f aca="false">IF(H114="","",IFERROR(INDEX(APU_Resumen!$H$6:$H$65,MATCH(H114,APU_Resumen!$A$6:$A$65,0)),"Sin APU"))</f>
        <v/>
      </c>
      <c r="J114" s="23" t="str">
        <f aca="false">IF(OR(G114="",NOT(ISNUMBER(I114))),"",G114*I114)</f>
        <v/>
      </c>
      <c r="K114" s="29" t="str">
        <f aca="false">IF(OR(J114="",$J$3=0),"",J114/$J$3)</f>
        <v/>
      </c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9" t="str">
        <f aca="false">IF(H115="","",IFERROR(INDEX(APU_Resumen!$C$6:$C$65,MATCH(H115,APU_Resumen!$A$6:$A$65,0)),""))</f>
        <v/>
      </c>
      <c r="G115" s="28"/>
      <c r="H115" s="17"/>
      <c r="I115" s="23" t="str">
        <f aca="false">IF(H115="","",IFERROR(INDEX(APU_Resumen!$H$6:$H$65,MATCH(H115,APU_Resumen!$A$6:$A$65,0)),"Sin APU"))</f>
        <v/>
      </c>
      <c r="J115" s="23" t="str">
        <f aca="false">IF(OR(G115="",NOT(ISNUMBER(I115))),"",G115*I115)</f>
        <v/>
      </c>
      <c r="K115" s="29" t="str">
        <f aca="false">IF(OR(J115="",$J$3=0),"",J115/$J$3)</f>
        <v/>
      </c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9" t="str">
        <f aca="false">IF(H116="","",IFERROR(INDEX(APU_Resumen!$C$6:$C$65,MATCH(H116,APU_Resumen!$A$6:$A$65,0)),""))</f>
        <v/>
      </c>
      <c r="G116" s="28"/>
      <c r="H116" s="17"/>
      <c r="I116" s="23" t="str">
        <f aca="false">IF(H116="","",IFERROR(INDEX(APU_Resumen!$H$6:$H$65,MATCH(H116,APU_Resumen!$A$6:$A$65,0)),"Sin APU"))</f>
        <v/>
      </c>
      <c r="J116" s="23" t="str">
        <f aca="false">IF(OR(G116="",NOT(ISNUMBER(I116))),"",G116*I116)</f>
        <v/>
      </c>
      <c r="K116" s="29" t="str">
        <f aca="false">IF(OR(J116="",$J$3=0),"",J116/$J$3)</f>
        <v/>
      </c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9" t="str">
        <f aca="false">IF(H117="","",IFERROR(INDEX(APU_Resumen!$C$6:$C$65,MATCH(H117,APU_Resumen!$A$6:$A$65,0)),""))</f>
        <v/>
      </c>
      <c r="G117" s="28"/>
      <c r="H117" s="17"/>
      <c r="I117" s="23" t="str">
        <f aca="false">IF(H117="","",IFERROR(INDEX(APU_Resumen!$H$6:$H$65,MATCH(H117,APU_Resumen!$A$6:$A$65,0)),"Sin APU"))</f>
        <v/>
      </c>
      <c r="J117" s="23" t="str">
        <f aca="false">IF(OR(G117="",NOT(ISNUMBER(I117))),"",G117*I117)</f>
        <v/>
      </c>
      <c r="K117" s="29" t="str">
        <f aca="false">IF(OR(J117="",$J$3=0),"",J117/$J$3)</f>
        <v/>
      </c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9" t="str">
        <f aca="false">IF(H118="","",IFERROR(INDEX(APU_Resumen!$C$6:$C$65,MATCH(H118,APU_Resumen!$A$6:$A$65,0)),""))</f>
        <v/>
      </c>
      <c r="G118" s="28"/>
      <c r="H118" s="17"/>
      <c r="I118" s="23" t="str">
        <f aca="false">IF(H118="","",IFERROR(INDEX(APU_Resumen!$H$6:$H$65,MATCH(H118,APU_Resumen!$A$6:$A$65,0)),"Sin APU"))</f>
        <v/>
      </c>
      <c r="J118" s="23" t="str">
        <f aca="false">IF(OR(G118="",NOT(ISNUMBER(I118))),"",G118*I118)</f>
        <v/>
      </c>
      <c r="K118" s="29" t="str">
        <f aca="false">IF(OR(J118="",$J$3=0),"",J118/$J$3)</f>
        <v/>
      </c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9" t="str">
        <f aca="false">IF(H119="","",IFERROR(INDEX(APU_Resumen!$C$6:$C$65,MATCH(H119,APU_Resumen!$A$6:$A$65,0)),""))</f>
        <v/>
      </c>
      <c r="G119" s="28"/>
      <c r="H119" s="17"/>
      <c r="I119" s="23" t="str">
        <f aca="false">IF(H119="","",IFERROR(INDEX(APU_Resumen!$H$6:$H$65,MATCH(H119,APU_Resumen!$A$6:$A$65,0)),"Sin APU"))</f>
        <v/>
      </c>
      <c r="J119" s="23" t="str">
        <f aca="false">IF(OR(G119="",NOT(ISNUMBER(I119))),"",G119*I119)</f>
        <v/>
      </c>
      <c r="K119" s="29" t="str">
        <f aca="false">IF(OR(J119="",$J$3=0),"",J119/$J$3)</f>
        <v/>
      </c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9" t="str">
        <f aca="false">IF(H120="","",IFERROR(INDEX(APU_Resumen!$C$6:$C$65,MATCH(H120,APU_Resumen!$A$6:$A$65,0)),""))</f>
        <v/>
      </c>
      <c r="G120" s="28"/>
      <c r="H120" s="17"/>
      <c r="I120" s="23" t="str">
        <f aca="false">IF(H120="","",IFERROR(INDEX(APU_Resumen!$H$6:$H$65,MATCH(H120,APU_Resumen!$A$6:$A$65,0)),"Sin APU"))</f>
        <v/>
      </c>
      <c r="J120" s="23" t="str">
        <f aca="false">IF(OR(G120="",NOT(ISNUMBER(I120))),"",G120*I120)</f>
        <v/>
      </c>
      <c r="K120" s="29" t="str">
        <f aca="false">IF(OR(J120="",$J$3=0),"",J120/$J$3)</f>
        <v/>
      </c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9" t="str">
        <f aca="false">IF(H121="","",IFERROR(INDEX(APU_Resumen!$C$6:$C$65,MATCH(H121,APU_Resumen!$A$6:$A$65,0)),""))</f>
        <v/>
      </c>
      <c r="G121" s="28"/>
      <c r="H121" s="17"/>
      <c r="I121" s="23" t="str">
        <f aca="false">IF(H121="","",IFERROR(INDEX(APU_Resumen!$H$6:$H$65,MATCH(H121,APU_Resumen!$A$6:$A$65,0)),"Sin APU"))</f>
        <v/>
      </c>
      <c r="J121" s="23" t="str">
        <f aca="false">IF(OR(G121="",NOT(ISNUMBER(I121))),"",G121*I121)</f>
        <v/>
      </c>
      <c r="K121" s="29" t="str">
        <f aca="false">IF(OR(J121="",$J$3=0),"",J121/$J$3)</f>
        <v/>
      </c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9" t="str">
        <f aca="false">IF(H122="","",IFERROR(INDEX(APU_Resumen!$C$6:$C$65,MATCH(H122,APU_Resumen!$A$6:$A$65,0)),""))</f>
        <v/>
      </c>
      <c r="G122" s="28"/>
      <c r="H122" s="17"/>
      <c r="I122" s="23" t="str">
        <f aca="false">IF(H122="","",IFERROR(INDEX(APU_Resumen!$H$6:$H$65,MATCH(H122,APU_Resumen!$A$6:$A$65,0)),"Sin APU"))</f>
        <v/>
      </c>
      <c r="J122" s="23" t="str">
        <f aca="false">IF(OR(G122="",NOT(ISNUMBER(I122))),"",G122*I122)</f>
        <v/>
      </c>
      <c r="K122" s="29" t="str">
        <f aca="false">IF(OR(J122="",$J$3=0),"",J122/$J$3)</f>
        <v/>
      </c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9" t="str">
        <f aca="false">IF(H123="","",IFERROR(INDEX(APU_Resumen!$C$6:$C$65,MATCH(H123,APU_Resumen!$A$6:$A$65,0)),""))</f>
        <v/>
      </c>
      <c r="G123" s="28"/>
      <c r="H123" s="17"/>
      <c r="I123" s="23" t="str">
        <f aca="false">IF(H123="","",IFERROR(INDEX(APU_Resumen!$H$6:$H$65,MATCH(H123,APU_Resumen!$A$6:$A$65,0)),"Sin APU"))</f>
        <v/>
      </c>
      <c r="J123" s="23" t="str">
        <f aca="false">IF(OR(G123="",NOT(ISNUMBER(I123))),"",G123*I123)</f>
        <v/>
      </c>
      <c r="K123" s="29" t="str">
        <f aca="false">IF(OR(J123="",$J$3=0),"",J123/$J$3)</f>
        <v/>
      </c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9" t="str">
        <f aca="false">IF(H124="","",IFERROR(INDEX(APU_Resumen!$C$6:$C$65,MATCH(H124,APU_Resumen!$A$6:$A$65,0)),""))</f>
        <v/>
      </c>
      <c r="G124" s="28"/>
      <c r="H124" s="17"/>
      <c r="I124" s="23" t="str">
        <f aca="false">IF(H124="","",IFERROR(INDEX(APU_Resumen!$H$6:$H$65,MATCH(H124,APU_Resumen!$A$6:$A$65,0)),"Sin APU"))</f>
        <v/>
      </c>
      <c r="J124" s="23" t="str">
        <f aca="false">IF(OR(G124="",NOT(ISNUMBER(I124))),"",G124*I124)</f>
        <v/>
      </c>
      <c r="K124" s="29" t="str">
        <f aca="false">IF(OR(J124="",$J$3=0),"",J124/$J$3)</f>
        <v/>
      </c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9" t="str">
        <f aca="false">IF(H125="","",IFERROR(INDEX(APU_Resumen!$C$6:$C$65,MATCH(H125,APU_Resumen!$A$6:$A$65,0)),""))</f>
        <v/>
      </c>
      <c r="G125" s="28"/>
      <c r="H125" s="17"/>
      <c r="I125" s="23" t="str">
        <f aca="false">IF(H125="","",IFERROR(INDEX(APU_Resumen!$H$6:$H$65,MATCH(H125,APU_Resumen!$A$6:$A$65,0)),"Sin APU"))</f>
        <v/>
      </c>
      <c r="J125" s="23" t="str">
        <f aca="false">IF(OR(G125="",NOT(ISNUMBER(I125))),"",G125*I125)</f>
        <v/>
      </c>
      <c r="K125" s="29" t="str">
        <f aca="false">IF(OR(J125="",$J$3=0),"",J125/$J$3)</f>
        <v/>
      </c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9" t="str">
        <f aca="false">IF(H126="","",IFERROR(INDEX(APU_Resumen!$C$6:$C$65,MATCH(H126,APU_Resumen!$A$6:$A$65,0)),""))</f>
        <v/>
      </c>
      <c r="G126" s="28"/>
      <c r="H126" s="17"/>
      <c r="I126" s="23" t="str">
        <f aca="false">IF(H126="","",IFERROR(INDEX(APU_Resumen!$H$6:$H$65,MATCH(H126,APU_Resumen!$A$6:$A$65,0)),"Sin APU"))</f>
        <v/>
      </c>
      <c r="J126" s="23" t="str">
        <f aca="false">IF(OR(G126="",NOT(ISNUMBER(I126))),"",G126*I126)</f>
        <v/>
      </c>
      <c r="K126" s="29" t="str">
        <f aca="false">IF(OR(J126="",$J$3=0),"",J126/$J$3)</f>
        <v/>
      </c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9" t="str">
        <f aca="false">IF(H127="","",IFERROR(INDEX(APU_Resumen!$C$6:$C$65,MATCH(H127,APU_Resumen!$A$6:$A$65,0)),""))</f>
        <v/>
      </c>
      <c r="G127" s="28"/>
      <c r="H127" s="17"/>
      <c r="I127" s="23" t="str">
        <f aca="false">IF(H127="","",IFERROR(INDEX(APU_Resumen!$H$6:$H$65,MATCH(H127,APU_Resumen!$A$6:$A$65,0)),"Sin APU"))</f>
        <v/>
      </c>
      <c r="J127" s="23" t="str">
        <f aca="false">IF(OR(G127="",NOT(ISNUMBER(I127))),"",G127*I127)</f>
        <v/>
      </c>
      <c r="K127" s="29" t="str">
        <f aca="false">IF(OR(J127="",$J$3=0),"",J127/$J$3)</f>
        <v/>
      </c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9" t="str">
        <f aca="false">IF(H128="","",IFERROR(INDEX(APU_Resumen!$C$6:$C$65,MATCH(H128,APU_Resumen!$A$6:$A$65,0)),""))</f>
        <v/>
      </c>
      <c r="G128" s="28"/>
      <c r="H128" s="17"/>
      <c r="I128" s="23" t="str">
        <f aca="false">IF(H128="","",IFERROR(INDEX(APU_Resumen!$H$6:$H$65,MATCH(H128,APU_Resumen!$A$6:$A$65,0)),"Sin APU"))</f>
        <v/>
      </c>
      <c r="J128" s="23" t="str">
        <f aca="false">IF(OR(G128="",NOT(ISNUMBER(I128))),"",G128*I128)</f>
        <v/>
      </c>
      <c r="K128" s="29" t="str">
        <f aca="false">IF(OR(J128="",$J$3=0),"",J128/$J$3)</f>
        <v/>
      </c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9" t="str">
        <f aca="false">IF(H129="","",IFERROR(INDEX(APU_Resumen!$C$6:$C$65,MATCH(H129,APU_Resumen!$A$6:$A$65,0)),""))</f>
        <v/>
      </c>
      <c r="G129" s="28"/>
      <c r="H129" s="17"/>
      <c r="I129" s="23" t="str">
        <f aca="false">IF(H129="","",IFERROR(INDEX(APU_Resumen!$H$6:$H$65,MATCH(H129,APU_Resumen!$A$6:$A$65,0)),"Sin APU"))</f>
        <v/>
      </c>
      <c r="J129" s="23" t="str">
        <f aca="false">IF(OR(G129="",NOT(ISNUMBER(I129))),"",G129*I129)</f>
        <v/>
      </c>
      <c r="K129" s="29" t="str">
        <f aca="false">IF(OR(J129="",$J$3=0),"",J129/$J$3)</f>
        <v/>
      </c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9" t="str">
        <f aca="false">IF(H130="","",IFERROR(INDEX(APU_Resumen!$C$6:$C$65,MATCH(H130,APU_Resumen!$A$6:$A$65,0)),""))</f>
        <v/>
      </c>
      <c r="G130" s="28"/>
      <c r="H130" s="17"/>
      <c r="I130" s="23" t="str">
        <f aca="false">IF(H130="","",IFERROR(INDEX(APU_Resumen!$H$6:$H$65,MATCH(H130,APU_Resumen!$A$6:$A$65,0)),"Sin APU"))</f>
        <v/>
      </c>
      <c r="J130" s="23" t="str">
        <f aca="false">IF(OR(G130="",NOT(ISNUMBER(I130))),"",G130*I130)</f>
        <v/>
      </c>
      <c r="K130" s="29" t="str">
        <f aca="false">IF(OR(J130="",$J$3=0),"",J130/$J$3)</f>
        <v/>
      </c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9" t="str">
        <f aca="false">IF(H131="","",IFERROR(INDEX(APU_Resumen!$C$6:$C$65,MATCH(H131,APU_Resumen!$A$6:$A$65,0)),""))</f>
        <v/>
      </c>
      <c r="G131" s="28"/>
      <c r="H131" s="17"/>
      <c r="I131" s="23" t="str">
        <f aca="false">IF(H131="","",IFERROR(INDEX(APU_Resumen!$H$6:$H$65,MATCH(H131,APU_Resumen!$A$6:$A$65,0)),"Sin APU"))</f>
        <v/>
      </c>
      <c r="J131" s="23" t="str">
        <f aca="false">IF(OR(G131="",NOT(ISNUMBER(I131))),"",G131*I131)</f>
        <v/>
      </c>
      <c r="K131" s="29" t="str">
        <f aca="false">IF(OR(J131="",$J$3=0),"",J131/$J$3)</f>
        <v/>
      </c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9" t="str">
        <f aca="false">IF(H132="","",IFERROR(INDEX(APU_Resumen!$C$6:$C$65,MATCH(H132,APU_Resumen!$A$6:$A$65,0)),""))</f>
        <v/>
      </c>
      <c r="G132" s="28"/>
      <c r="H132" s="17"/>
      <c r="I132" s="23" t="str">
        <f aca="false">IF(H132="","",IFERROR(INDEX(APU_Resumen!$H$6:$H$65,MATCH(H132,APU_Resumen!$A$6:$A$65,0)),"Sin APU"))</f>
        <v/>
      </c>
      <c r="J132" s="23" t="str">
        <f aca="false">IF(OR(G132="",NOT(ISNUMBER(I132))),"",G132*I132)</f>
        <v/>
      </c>
      <c r="K132" s="29" t="str">
        <f aca="false">IF(OR(J132="",$J$3=0),"",J132/$J$3)</f>
        <v/>
      </c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9" t="str">
        <f aca="false">IF(H133="","",IFERROR(INDEX(APU_Resumen!$C$6:$C$65,MATCH(H133,APU_Resumen!$A$6:$A$65,0)),""))</f>
        <v/>
      </c>
      <c r="G133" s="28"/>
      <c r="H133" s="17"/>
      <c r="I133" s="23" t="str">
        <f aca="false">IF(H133="","",IFERROR(INDEX(APU_Resumen!$H$6:$H$65,MATCH(H133,APU_Resumen!$A$6:$A$65,0)),"Sin APU"))</f>
        <v/>
      </c>
      <c r="J133" s="23" t="str">
        <f aca="false">IF(OR(G133="",NOT(ISNUMBER(I133))),"",G133*I133)</f>
        <v/>
      </c>
      <c r="K133" s="29" t="str">
        <f aca="false">IF(OR(J133="",$J$3=0),"",J133/$J$3)</f>
        <v/>
      </c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9" t="str">
        <f aca="false">IF(H134="","",IFERROR(INDEX(APU_Resumen!$C$6:$C$65,MATCH(H134,APU_Resumen!$A$6:$A$65,0)),""))</f>
        <v/>
      </c>
      <c r="G134" s="28"/>
      <c r="H134" s="17"/>
      <c r="I134" s="23" t="str">
        <f aca="false">IF(H134="","",IFERROR(INDEX(APU_Resumen!$H$6:$H$65,MATCH(H134,APU_Resumen!$A$6:$A$65,0)),"Sin APU"))</f>
        <v/>
      </c>
      <c r="J134" s="23" t="str">
        <f aca="false">IF(OR(G134="",NOT(ISNUMBER(I134))),"",G134*I134)</f>
        <v/>
      </c>
      <c r="K134" s="29" t="str">
        <f aca="false">IF(OR(J134="",$J$3=0),"",J134/$J$3)</f>
        <v/>
      </c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9" t="str">
        <f aca="false">IF(H135="","",IFERROR(INDEX(APU_Resumen!$C$6:$C$65,MATCH(H135,APU_Resumen!$A$6:$A$65,0)),""))</f>
        <v/>
      </c>
      <c r="G135" s="28"/>
      <c r="H135" s="17"/>
      <c r="I135" s="23" t="str">
        <f aca="false">IF(H135="","",IFERROR(INDEX(APU_Resumen!$H$6:$H$65,MATCH(H135,APU_Resumen!$A$6:$A$65,0)),"Sin APU"))</f>
        <v/>
      </c>
      <c r="J135" s="23" t="str">
        <f aca="false">IF(OR(G135="",NOT(ISNUMBER(I135))),"",G135*I135)</f>
        <v/>
      </c>
      <c r="K135" s="29" t="str">
        <f aca="false">IF(OR(J135="",$J$3=0),"",J135/$J$3)</f>
        <v/>
      </c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9" t="str">
        <f aca="false">IF(H136="","",IFERROR(INDEX(APU_Resumen!$C$6:$C$65,MATCH(H136,APU_Resumen!$A$6:$A$65,0)),""))</f>
        <v/>
      </c>
      <c r="G136" s="28"/>
      <c r="H136" s="17"/>
      <c r="I136" s="23" t="str">
        <f aca="false">IF(H136="","",IFERROR(INDEX(APU_Resumen!$H$6:$H$65,MATCH(H136,APU_Resumen!$A$6:$A$65,0)),"Sin APU"))</f>
        <v/>
      </c>
      <c r="J136" s="23" t="str">
        <f aca="false">IF(OR(G136="",NOT(ISNUMBER(I136))),"",G136*I136)</f>
        <v/>
      </c>
      <c r="K136" s="29" t="str">
        <f aca="false">IF(OR(J136="",$J$3=0),"",J136/$J$3)</f>
        <v/>
      </c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9" t="str">
        <f aca="false">IF(H137="","",IFERROR(INDEX(APU_Resumen!$C$6:$C$65,MATCH(H137,APU_Resumen!$A$6:$A$65,0)),""))</f>
        <v/>
      </c>
      <c r="G137" s="28"/>
      <c r="H137" s="17"/>
      <c r="I137" s="23" t="str">
        <f aca="false">IF(H137="","",IFERROR(INDEX(APU_Resumen!$H$6:$H$65,MATCH(H137,APU_Resumen!$A$6:$A$65,0)),"Sin APU"))</f>
        <v/>
      </c>
      <c r="J137" s="23" t="str">
        <f aca="false">IF(OR(G137="",NOT(ISNUMBER(I137))),"",G137*I137)</f>
        <v/>
      </c>
      <c r="K137" s="29" t="str">
        <f aca="false">IF(OR(J137="",$J$3=0),"",J137/$J$3)</f>
        <v/>
      </c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9" t="str">
        <f aca="false">IF(H138="","",IFERROR(INDEX(APU_Resumen!$C$6:$C$65,MATCH(H138,APU_Resumen!$A$6:$A$65,0)),""))</f>
        <v/>
      </c>
      <c r="G138" s="28"/>
      <c r="H138" s="17"/>
      <c r="I138" s="23" t="str">
        <f aca="false">IF(H138="","",IFERROR(INDEX(APU_Resumen!$H$6:$H$65,MATCH(H138,APU_Resumen!$A$6:$A$65,0)),"Sin APU"))</f>
        <v/>
      </c>
      <c r="J138" s="23" t="str">
        <f aca="false">IF(OR(G138="",NOT(ISNUMBER(I138))),"",G138*I138)</f>
        <v/>
      </c>
      <c r="K138" s="29" t="str">
        <f aca="false">IF(OR(J138="",$J$3=0),"",J138/$J$3)</f>
        <v/>
      </c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9" t="str">
        <f aca="false">IF(H139="","",IFERROR(INDEX(APU_Resumen!$C$6:$C$65,MATCH(H139,APU_Resumen!$A$6:$A$65,0)),""))</f>
        <v/>
      </c>
      <c r="G139" s="28"/>
      <c r="H139" s="17"/>
      <c r="I139" s="23" t="str">
        <f aca="false">IF(H139="","",IFERROR(INDEX(APU_Resumen!$H$6:$H$65,MATCH(H139,APU_Resumen!$A$6:$A$65,0)),"Sin APU"))</f>
        <v/>
      </c>
      <c r="J139" s="23" t="str">
        <f aca="false">IF(OR(G139="",NOT(ISNUMBER(I139))),"",G139*I139)</f>
        <v/>
      </c>
      <c r="K139" s="29" t="str">
        <f aca="false">IF(OR(J139="",$J$3=0),"",J139/$J$3)</f>
        <v/>
      </c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9" t="str">
        <f aca="false">IF(H140="","",IFERROR(INDEX(APU_Resumen!$C$6:$C$65,MATCH(H140,APU_Resumen!$A$6:$A$65,0)),""))</f>
        <v/>
      </c>
      <c r="G140" s="28"/>
      <c r="H140" s="17"/>
      <c r="I140" s="23" t="str">
        <f aca="false">IF(H140="","",IFERROR(INDEX(APU_Resumen!$H$6:$H$65,MATCH(H140,APU_Resumen!$A$6:$A$65,0)),"Sin APU"))</f>
        <v/>
      </c>
      <c r="J140" s="23" t="str">
        <f aca="false">IF(OR(G140="",NOT(ISNUMBER(I140))),"",G140*I140)</f>
        <v/>
      </c>
      <c r="K140" s="29" t="str">
        <f aca="false">IF(OR(J140="",$J$3=0),"",J140/$J$3)</f>
        <v/>
      </c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9" t="str">
        <f aca="false">IF(H141="","",IFERROR(INDEX(APU_Resumen!$C$6:$C$65,MATCH(H141,APU_Resumen!$A$6:$A$65,0)),""))</f>
        <v/>
      </c>
      <c r="G141" s="28"/>
      <c r="H141" s="17"/>
      <c r="I141" s="23" t="str">
        <f aca="false">IF(H141="","",IFERROR(INDEX(APU_Resumen!$H$6:$H$65,MATCH(H141,APU_Resumen!$A$6:$A$65,0)),"Sin APU"))</f>
        <v/>
      </c>
      <c r="J141" s="23" t="str">
        <f aca="false">IF(OR(G141="",NOT(ISNUMBER(I141))),"",G141*I141)</f>
        <v/>
      </c>
      <c r="K141" s="29" t="str">
        <f aca="false">IF(OR(J141="",$J$3=0),"",J141/$J$3)</f>
        <v/>
      </c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9" t="str">
        <f aca="false">IF(H142="","",IFERROR(INDEX(APU_Resumen!$C$6:$C$65,MATCH(H142,APU_Resumen!$A$6:$A$65,0)),""))</f>
        <v/>
      </c>
      <c r="G142" s="28"/>
      <c r="H142" s="17"/>
      <c r="I142" s="23" t="str">
        <f aca="false">IF(H142="","",IFERROR(INDEX(APU_Resumen!$H$6:$H$65,MATCH(H142,APU_Resumen!$A$6:$A$65,0)),"Sin APU"))</f>
        <v/>
      </c>
      <c r="J142" s="23" t="str">
        <f aca="false">IF(OR(G142="",NOT(ISNUMBER(I142))),"",G142*I142)</f>
        <v/>
      </c>
      <c r="K142" s="29" t="str">
        <f aca="false">IF(OR(J142="",$J$3=0),"",J142/$J$3)</f>
        <v/>
      </c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9" t="str">
        <f aca="false">IF(H143="","",IFERROR(INDEX(APU_Resumen!$C$6:$C$65,MATCH(H143,APU_Resumen!$A$6:$A$65,0)),""))</f>
        <v/>
      </c>
      <c r="G143" s="28"/>
      <c r="H143" s="17"/>
      <c r="I143" s="23" t="str">
        <f aca="false">IF(H143="","",IFERROR(INDEX(APU_Resumen!$H$6:$H$65,MATCH(H143,APU_Resumen!$A$6:$A$65,0)),"Sin APU"))</f>
        <v/>
      </c>
      <c r="J143" s="23" t="str">
        <f aca="false">IF(OR(G143="",NOT(ISNUMBER(I143))),"",G143*I143)</f>
        <v/>
      </c>
      <c r="K143" s="29" t="str">
        <f aca="false">IF(OR(J143="",$J$3=0),"",J143/$J$3)</f>
        <v/>
      </c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9" t="str">
        <f aca="false">IF(H144="","",IFERROR(INDEX(APU_Resumen!$C$6:$C$65,MATCH(H144,APU_Resumen!$A$6:$A$65,0)),""))</f>
        <v/>
      </c>
      <c r="G144" s="28"/>
      <c r="H144" s="17"/>
      <c r="I144" s="23" t="str">
        <f aca="false">IF(H144="","",IFERROR(INDEX(APU_Resumen!$H$6:$H$65,MATCH(H144,APU_Resumen!$A$6:$A$65,0)),"Sin APU"))</f>
        <v/>
      </c>
      <c r="J144" s="23" t="str">
        <f aca="false">IF(OR(G144="",NOT(ISNUMBER(I144))),"",G144*I144)</f>
        <v/>
      </c>
      <c r="K144" s="29" t="str">
        <f aca="false">IF(OR(J144="",$J$3=0),"",J144/$J$3)</f>
        <v/>
      </c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9" t="str">
        <f aca="false">IF(H145="","",IFERROR(INDEX(APU_Resumen!$C$6:$C$65,MATCH(H145,APU_Resumen!$A$6:$A$65,0)),""))</f>
        <v/>
      </c>
      <c r="G145" s="28"/>
      <c r="H145" s="17"/>
      <c r="I145" s="23" t="str">
        <f aca="false">IF(H145="","",IFERROR(INDEX(APU_Resumen!$H$6:$H$65,MATCH(H145,APU_Resumen!$A$6:$A$65,0)),"Sin APU"))</f>
        <v/>
      </c>
      <c r="J145" s="23" t="str">
        <f aca="false">IF(OR(G145="",NOT(ISNUMBER(I145))),"",G145*I145)</f>
        <v/>
      </c>
      <c r="K145" s="29" t="str">
        <f aca="false">IF(OR(J145="",$J$3=0),"",J145/$J$3)</f>
        <v/>
      </c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9" t="str">
        <f aca="false">IF(H146="","",IFERROR(INDEX(APU_Resumen!$C$6:$C$65,MATCH(H146,APU_Resumen!$A$6:$A$65,0)),""))</f>
        <v/>
      </c>
      <c r="G146" s="28"/>
      <c r="H146" s="17"/>
      <c r="I146" s="23" t="str">
        <f aca="false">IF(H146="","",IFERROR(INDEX(APU_Resumen!$H$6:$H$65,MATCH(H146,APU_Resumen!$A$6:$A$65,0)),"Sin APU"))</f>
        <v/>
      </c>
      <c r="J146" s="23" t="str">
        <f aca="false">IF(OR(G146="",NOT(ISNUMBER(I146))),"",G146*I146)</f>
        <v/>
      </c>
      <c r="K146" s="29" t="str">
        <f aca="false">IF(OR(J146="",$J$3=0),"",J146/$J$3)</f>
        <v/>
      </c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9" t="str">
        <f aca="false">IF(H147="","",IFERROR(INDEX(APU_Resumen!$C$6:$C$65,MATCH(H147,APU_Resumen!$A$6:$A$65,0)),""))</f>
        <v/>
      </c>
      <c r="G147" s="28"/>
      <c r="H147" s="17"/>
      <c r="I147" s="23" t="str">
        <f aca="false">IF(H147="","",IFERROR(INDEX(APU_Resumen!$H$6:$H$65,MATCH(H147,APU_Resumen!$A$6:$A$65,0)),"Sin APU"))</f>
        <v/>
      </c>
      <c r="J147" s="23" t="str">
        <f aca="false">IF(OR(G147="",NOT(ISNUMBER(I147))),"",G147*I147)</f>
        <v/>
      </c>
      <c r="K147" s="29" t="str">
        <f aca="false">IF(OR(J147="",$J$3=0),"",J147/$J$3)</f>
        <v/>
      </c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9" t="str">
        <f aca="false">IF(H148="","",IFERROR(INDEX(APU_Resumen!$C$6:$C$65,MATCH(H148,APU_Resumen!$A$6:$A$65,0)),""))</f>
        <v/>
      </c>
      <c r="G148" s="28"/>
      <c r="H148" s="17"/>
      <c r="I148" s="23" t="str">
        <f aca="false">IF(H148="","",IFERROR(INDEX(APU_Resumen!$H$6:$H$65,MATCH(H148,APU_Resumen!$A$6:$A$65,0)),"Sin APU"))</f>
        <v/>
      </c>
      <c r="J148" s="23" t="str">
        <f aca="false">IF(OR(G148="",NOT(ISNUMBER(I148))),"",G148*I148)</f>
        <v/>
      </c>
      <c r="K148" s="29" t="str">
        <f aca="false">IF(OR(J148="",$J$3=0),"",J148/$J$3)</f>
        <v/>
      </c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9" t="str">
        <f aca="false">IF(H149="","",IFERROR(INDEX(APU_Resumen!$C$6:$C$65,MATCH(H149,APU_Resumen!$A$6:$A$65,0)),""))</f>
        <v/>
      </c>
      <c r="G149" s="28"/>
      <c r="H149" s="17"/>
      <c r="I149" s="23" t="str">
        <f aca="false">IF(H149="","",IFERROR(INDEX(APU_Resumen!$H$6:$H$65,MATCH(H149,APU_Resumen!$A$6:$A$65,0)),"Sin APU"))</f>
        <v/>
      </c>
      <c r="J149" s="23" t="str">
        <f aca="false">IF(OR(G149="",NOT(ISNUMBER(I149))),"",G149*I149)</f>
        <v/>
      </c>
      <c r="K149" s="29" t="str">
        <f aca="false">IF(OR(J149="",$J$3=0),"",J149/$J$3)</f>
        <v/>
      </c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9" t="str">
        <f aca="false">IF(H150="","",IFERROR(INDEX(APU_Resumen!$C$6:$C$65,MATCH(H150,APU_Resumen!$A$6:$A$65,0)),""))</f>
        <v/>
      </c>
      <c r="G150" s="28"/>
      <c r="H150" s="17"/>
      <c r="I150" s="23" t="str">
        <f aca="false">IF(H150="","",IFERROR(INDEX(APU_Resumen!$H$6:$H$65,MATCH(H150,APU_Resumen!$A$6:$A$65,0)),"Sin APU"))</f>
        <v/>
      </c>
      <c r="J150" s="23" t="str">
        <f aca="false">IF(OR(G150="",NOT(ISNUMBER(I150))),"",G150*I150)</f>
        <v/>
      </c>
      <c r="K150" s="29" t="str">
        <f aca="false">IF(OR(J150="",$J$3=0),"",J150/$J$3)</f>
        <v/>
      </c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9" t="str">
        <f aca="false">IF(H151="","",IFERROR(INDEX(APU_Resumen!$C$6:$C$65,MATCH(H151,APU_Resumen!$A$6:$A$65,0)),""))</f>
        <v/>
      </c>
      <c r="G151" s="28"/>
      <c r="H151" s="17"/>
      <c r="I151" s="23" t="str">
        <f aca="false">IF(H151="","",IFERROR(INDEX(APU_Resumen!$H$6:$H$65,MATCH(H151,APU_Resumen!$A$6:$A$65,0)),"Sin APU"))</f>
        <v/>
      </c>
      <c r="J151" s="23" t="str">
        <f aca="false">IF(OR(G151="",NOT(ISNUMBER(I151))),"",G151*I151)</f>
        <v/>
      </c>
      <c r="K151" s="29" t="str">
        <f aca="false">IF(OR(J151="",$J$3=0),"",J151/$J$3)</f>
        <v/>
      </c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9" t="str">
        <f aca="false">IF(H152="","",IFERROR(INDEX(APU_Resumen!$C$6:$C$65,MATCH(H152,APU_Resumen!$A$6:$A$65,0)),""))</f>
        <v/>
      </c>
      <c r="G152" s="28"/>
      <c r="H152" s="17"/>
      <c r="I152" s="23" t="str">
        <f aca="false">IF(H152="","",IFERROR(INDEX(APU_Resumen!$H$6:$H$65,MATCH(H152,APU_Resumen!$A$6:$A$65,0)),"Sin APU"))</f>
        <v/>
      </c>
      <c r="J152" s="23" t="str">
        <f aca="false">IF(OR(G152="",NOT(ISNUMBER(I152))),"",G152*I152)</f>
        <v/>
      </c>
      <c r="K152" s="29" t="str">
        <f aca="false">IF(OR(J152="",$J$3=0),"",J152/$J$3)</f>
        <v/>
      </c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9" t="str">
        <f aca="false">IF(H153="","",IFERROR(INDEX(APU_Resumen!$C$6:$C$65,MATCH(H153,APU_Resumen!$A$6:$A$65,0)),""))</f>
        <v/>
      </c>
      <c r="G153" s="28"/>
      <c r="H153" s="17"/>
      <c r="I153" s="23" t="str">
        <f aca="false">IF(H153="","",IFERROR(INDEX(APU_Resumen!$H$6:$H$65,MATCH(H153,APU_Resumen!$A$6:$A$65,0)),"Sin APU"))</f>
        <v/>
      </c>
      <c r="J153" s="23" t="str">
        <f aca="false">IF(OR(G153="",NOT(ISNUMBER(I153))),"",G153*I153)</f>
        <v/>
      </c>
      <c r="K153" s="29" t="str">
        <f aca="false">IF(OR(J153="",$J$3=0),"",J153/$J$3)</f>
        <v/>
      </c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9" t="str">
        <f aca="false">IF(H154="","",IFERROR(INDEX(APU_Resumen!$C$6:$C$65,MATCH(H154,APU_Resumen!$A$6:$A$65,0)),""))</f>
        <v/>
      </c>
      <c r="G154" s="28"/>
      <c r="H154" s="17"/>
      <c r="I154" s="23" t="str">
        <f aca="false">IF(H154="","",IFERROR(INDEX(APU_Resumen!$H$6:$H$65,MATCH(H154,APU_Resumen!$A$6:$A$65,0)),"Sin APU"))</f>
        <v/>
      </c>
      <c r="J154" s="23" t="str">
        <f aca="false">IF(OR(G154="",NOT(ISNUMBER(I154))),"",G154*I154)</f>
        <v/>
      </c>
      <c r="K154" s="29" t="str">
        <f aca="false">IF(OR(J154="",$J$3=0),"",J154/$J$3)</f>
        <v/>
      </c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9" t="str">
        <f aca="false">IF(H155="","",IFERROR(INDEX(APU_Resumen!$C$6:$C$65,MATCH(H155,APU_Resumen!$A$6:$A$65,0)),""))</f>
        <v/>
      </c>
      <c r="G155" s="28"/>
      <c r="H155" s="17"/>
      <c r="I155" s="23" t="str">
        <f aca="false">IF(H155="","",IFERROR(INDEX(APU_Resumen!$H$6:$H$65,MATCH(H155,APU_Resumen!$A$6:$A$65,0)),"Sin APU"))</f>
        <v/>
      </c>
      <c r="J155" s="23" t="str">
        <f aca="false">IF(OR(G155="",NOT(ISNUMBER(I155))),"",G155*I155)</f>
        <v/>
      </c>
      <c r="K155" s="29" t="str">
        <f aca="false">IF(OR(J155="",$J$3=0),"",J155/$J$3)</f>
        <v/>
      </c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9" t="str">
        <f aca="false">IF(H156="","",IFERROR(INDEX(APU_Resumen!$C$6:$C$65,MATCH(H156,APU_Resumen!$A$6:$A$65,0)),""))</f>
        <v/>
      </c>
      <c r="G156" s="28"/>
      <c r="H156" s="17"/>
      <c r="I156" s="23" t="str">
        <f aca="false">IF(H156="","",IFERROR(INDEX(APU_Resumen!$H$6:$H$65,MATCH(H156,APU_Resumen!$A$6:$A$65,0)),"Sin APU"))</f>
        <v/>
      </c>
      <c r="J156" s="23" t="str">
        <f aca="false">IF(OR(G156="",NOT(ISNUMBER(I156))),"",G156*I156)</f>
        <v/>
      </c>
      <c r="K156" s="29" t="str">
        <f aca="false">IF(OR(J156="",$J$3=0),"",J156/$J$3)</f>
        <v/>
      </c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9" t="str">
        <f aca="false">IF(H157="","",IFERROR(INDEX(APU_Resumen!$C$6:$C$65,MATCH(H157,APU_Resumen!$A$6:$A$65,0)),""))</f>
        <v/>
      </c>
      <c r="G157" s="28"/>
      <c r="H157" s="17"/>
      <c r="I157" s="23" t="str">
        <f aca="false">IF(H157="","",IFERROR(INDEX(APU_Resumen!$H$6:$H$65,MATCH(H157,APU_Resumen!$A$6:$A$65,0)),"Sin APU"))</f>
        <v/>
      </c>
      <c r="J157" s="23" t="str">
        <f aca="false">IF(OR(G157="",NOT(ISNUMBER(I157))),"",G157*I157)</f>
        <v/>
      </c>
      <c r="K157" s="29" t="str">
        <f aca="false">IF(OR(J157="",$J$3=0),"",J157/$J$3)</f>
        <v/>
      </c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9" t="str">
        <f aca="false">IF(H158="","",IFERROR(INDEX(APU_Resumen!$C$6:$C$65,MATCH(H158,APU_Resumen!$A$6:$A$65,0)),""))</f>
        <v/>
      </c>
      <c r="G158" s="28"/>
      <c r="H158" s="17"/>
      <c r="I158" s="23" t="str">
        <f aca="false">IF(H158="","",IFERROR(INDEX(APU_Resumen!$H$6:$H$65,MATCH(H158,APU_Resumen!$A$6:$A$65,0)),"Sin APU"))</f>
        <v/>
      </c>
      <c r="J158" s="23" t="str">
        <f aca="false">IF(OR(G158="",NOT(ISNUMBER(I158))),"",G158*I158)</f>
        <v/>
      </c>
      <c r="K158" s="29" t="str">
        <f aca="false">IF(OR(J158="",$J$3=0),"",J158/$J$3)</f>
        <v/>
      </c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9" t="str">
        <f aca="false">IF(H159="","",IFERROR(INDEX(APU_Resumen!$C$6:$C$65,MATCH(H159,APU_Resumen!$A$6:$A$65,0)),""))</f>
        <v/>
      </c>
      <c r="G159" s="28"/>
      <c r="H159" s="17"/>
      <c r="I159" s="23" t="str">
        <f aca="false">IF(H159="","",IFERROR(INDEX(APU_Resumen!$H$6:$H$65,MATCH(H159,APU_Resumen!$A$6:$A$65,0)),"Sin APU"))</f>
        <v/>
      </c>
      <c r="J159" s="23" t="str">
        <f aca="false">IF(OR(G159="",NOT(ISNUMBER(I159))),"",G159*I159)</f>
        <v/>
      </c>
      <c r="K159" s="29" t="str">
        <f aca="false">IF(OR(J159="",$J$3=0),"",J159/$J$3)</f>
        <v/>
      </c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9" t="str">
        <f aca="false">IF(H160="","",IFERROR(INDEX(APU_Resumen!$C$6:$C$65,MATCH(H160,APU_Resumen!$A$6:$A$65,0)),""))</f>
        <v/>
      </c>
      <c r="G160" s="28"/>
      <c r="H160" s="17"/>
      <c r="I160" s="23" t="str">
        <f aca="false">IF(H160="","",IFERROR(INDEX(APU_Resumen!$H$6:$H$65,MATCH(H160,APU_Resumen!$A$6:$A$65,0)),"Sin APU"))</f>
        <v/>
      </c>
      <c r="J160" s="23" t="str">
        <f aca="false">IF(OR(G160="",NOT(ISNUMBER(I160))),"",G160*I160)</f>
        <v/>
      </c>
      <c r="K160" s="29" t="str">
        <f aca="false">IF(OR(J160="",$J$3=0),"",J160/$J$3)</f>
        <v/>
      </c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9" t="str">
        <f aca="false">IF(H161="","",IFERROR(INDEX(APU_Resumen!$C$6:$C$65,MATCH(H161,APU_Resumen!$A$6:$A$65,0)),""))</f>
        <v/>
      </c>
      <c r="G161" s="28"/>
      <c r="H161" s="17"/>
      <c r="I161" s="23" t="str">
        <f aca="false">IF(H161="","",IFERROR(INDEX(APU_Resumen!$H$6:$H$65,MATCH(H161,APU_Resumen!$A$6:$A$65,0)),"Sin APU"))</f>
        <v/>
      </c>
      <c r="J161" s="23" t="str">
        <f aca="false">IF(OR(G161="",NOT(ISNUMBER(I161))),"",G161*I161)</f>
        <v/>
      </c>
      <c r="K161" s="29" t="str">
        <f aca="false">IF(OR(J161="",$J$3=0),"",J161/$J$3)</f>
        <v/>
      </c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9" t="str">
        <f aca="false">IF(H162="","",IFERROR(INDEX(APU_Resumen!$C$6:$C$65,MATCH(H162,APU_Resumen!$A$6:$A$65,0)),""))</f>
        <v/>
      </c>
      <c r="G162" s="28"/>
      <c r="H162" s="17"/>
      <c r="I162" s="23" t="str">
        <f aca="false">IF(H162="","",IFERROR(INDEX(APU_Resumen!$H$6:$H$65,MATCH(H162,APU_Resumen!$A$6:$A$65,0)),"Sin APU"))</f>
        <v/>
      </c>
      <c r="J162" s="23" t="str">
        <f aca="false">IF(OR(G162="",NOT(ISNUMBER(I162))),"",G162*I162)</f>
        <v/>
      </c>
      <c r="K162" s="29" t="str">
        <f aca="false">IF(OR(J162="",$J$3=0),"",J162/$J$3)</f>
        <v/>
      </c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9" t="str">
        <f aca="false">IF(H163="","",IFERROR(INDEX(APU_Resumen!$C$6:$C$65,MATCH(H163,APU_Resumen!$A$6:$A$65,0)),""))</f>
        <v/>
      </c>
      <c r="G163" s="28"/>
      <c r="H163" s="17"/>
      <c r="I163" s="23" t="str">
        <f aca="false">IF(H163="","",IFERROR(INDEX(APU_Resumen!$H$6:$H$65,MATCH(H163,APU_Resumen!$A$6:$A$65,0)),"Sin APU"))</f>
        <v/>
      </c>
      <c r="J163" s="23" t="str">
        <f aca="false">IF(OR(G163="",NOT(ISNUMBER(I163))),"",G163*I163)</f>
        <v/>
      </c>
      <c r="K163" s="29" t="str">
        <f aca="false">IF(OR(J163="",$J$3=0),"",J163/$J$3)</f>
        <v/>
      </c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9" t="str">
        <f aca="false">IF(H164="","",IFERROR(INDEX(APU_Resumen!$C$6:$C$65,MATCH(H164,APU_Resumen!$A$6:$A$65,0)),""))</f>
        <v/>
      </c>
      <c r="G164" s="28"/>
      <c r="H164" s="17"/>
      <c r="I164" s="23" t="str">
        <f aca="false">IF(H164="","",IFERROR(INDEX(APU_Resumen!$H$6:$H$65,MATCH(H164,APU_Resumen!$A$6:$A$65,0)),"Sin APU"))</f>
        <v/>
      </c>
      <c r="J164" s="23" t="str">
        <f aca="false">IF(OR(G164="",NOT(ISNUMBER(I164))),"",G164*I164)</f>
        <v/>
      </c>
      <c r="K164" s="29" t="str">
        <f aca="false">IF(OR(J164="",$J$3=0),"",J164/$J$3)</f>
        <v/>
      </c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9" t="str">
        <f aca="false">IF(H165="","",IFERROR(INDEX(APU_Resumen!$C$6:$C$65,MATCH(H165,APU_Resumen!$A$6:$A$65,0)),""))</f>
        <v/>
      </c>
      <c r="G165" s="28"/>
      <c r="H165" s="17"/>
      <c r="I165" s="23" t="str">
        <f aca="false">IF(H165="","",IFERROR(INDEX(APU_Resumen!$H$6:$H$65,MATCH(H165,APU_Resumen!$A$6:$A$65,0)),"Sin APU"))</f>
        <v/>
      </c>
      <c r="J165" s="23" t="str">
        <f aca="false">IF(OR(G165="",NOT(ISNUMBER(I165))),"",G165*I165)</f>
        <v/>
      </c>
      <c r="K165" s="29" t="str">
        <f aca="false">IF(OR(J165="",$J$3=0),"",J165/$J$3)</f>
        <v/>
      </c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9" t="str">
        <f aca="false">IF(H166="","",IFERROR(INDEX(APU_Resumen!$C$6:$C$65,MATCH(H166,APU_Resumen!$A$6:$A$65,0)),""))</f>
        <v/>
      </c>
      <c r="G166" s="28"/>
      <c r="H166" s="17"/>
      <c r="I166" s="23" t="str">
        <f aca="false">IF(H166="","",IFERROR(INDEX(APU_Resumen!$H$6:$H$65,MATCH(H166,APU_Resumen!$A$6:$A$65,0)),"Sin APU"))</f>
        <v/>
      </c>
      <c r="J166" s="23" t="str">
        <f aca="false">IF(OR(G166="",NOT(ISNUMBER(I166))),"",G166*I166)</f>
        <v/>
      </c>
      <c r="K166" s="29" t="str">
        <f aca="false">IF(OR(J166="",$J$3=0),"",J166/$J$3)</f>
        <v/>
      </c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9" t="str">
        <f aca="false">IF(H167="","",IFERROR(INDEX(APU_Resumen!$C$6:$C$65,MATCH(H167,APU_Resumen!$A$6:$A$65,0)),""))</f>
        <v/>
      </c>
      <c r="G167" s="28"/>
      <c r="H167" s="17"/>
      <c r="I167" s="23" t="str">
        <f aca="false">IF(H167="","",IFERROR(INDEX(APU_Resumen!$H$6:$H$65,MATCH(H167,APU_Resumen!$A$6:$A$65,0)),"Sin APU"))</f>
        <v/>
      </c>
      <c r="J167" s="23" t="str">
        <f aca="false">IF(OR(G167="",NOT(ISNUMBER(I167))),"",G167*I167)</f>
        <v/>
      </c>
      <c r="K167" s="29" t="str">
        <f aca="false">IF(OR(J167="",$J$3=0),"",J167/$J$3)</f>
        <v/>
      </c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9" t="str">
        <f aca="false">IF(H168="","",IFERROR(INDEX(APU_Resumen!$C$6:$C$65,MATCH(H168,APU_Resumen!$A$6:$A$65,0)),""))</f>
        <v/>
      </c>
      <c r="G168" s="28"/>
      <c r="H168" s="17"/>
      <c r="I168" s="23" t="str">
        <f aca="false">IF(H168="","",IFERROR(INDEX(APU_Resumen!$H$6:$H$65,MATCH(H168,APU_Resumen!$A$6:$A$65,0)),"Sin APU"))</f>
        <v/>
      </c>
      <c r="J168" s="23" t="str">
        <f aca="false">IF(OR(G168="",NOT(ISNUMBER(I168))),"",G168*I168)</f>
        <v/>
      </c>
      <c r="K168" s="29" t="str">
        <f aca="false">IF(OR(J168="",$J$3=0),"",J168/$J$3)</f>
        <v/>
      </c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9" t="str">
        <f aca="false">IF(H169="","",IFERROR(INDEX(APU_Resumen!$C$6:$C$65,MATCH(H169,APU_Resumen!$A$6:$A$65,0)),""))</f>
        <v/>
      </c>
      <c r="G169" s="28"/>
      <c r="H169" s="17"/>
      <c r="I169" s="23" t="str">
        <f aca="false">IF(H169="","",IFERROR(INDEX(APU_Resumen!$H$6:$H$65,MATCH(H169,APU_Resumen!$A$6:$A$65,0)),"Sin APU"))</f>
        <v/>
      </c>
      <c r="J169" s="23" t="str">
        <f aca="false">IF(OR(G169="",NOT(ISNUMBER(I169))),"",G169*I169)</f>
        <v/>
      </c>
      <c r="K169" s="29" t="str">
        <f aca="false">IF(OR(J169="",$J$3=0),"",J169/$J$3)</f>
        <v/>
      </c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9" t="str">
        <f aca="false">IF(H170="","",IFERROR(INDEX(APU_Resumen!$C$6:$C$65,MATCH(H170,APU_Resumen!$A$6:$A$65,0)),""))</f>
        <v/>
      </c>
      <c r="G170" s="28"/>
      <c r="H170" s="17"/>
      <c r="I170" s="23" t="str">
        <f aca="false">IF(H170="","",IFERROR(INDEX(APU_Resumen!$H$6:$H$65,MATCH(H170,APU_Resumen!$A$6:$A$65,0)),"Sin APU"))</f>
        <v/>
      </c>
      <c r="J170" s="23" t="str">
        <f aca="false">IF(OR(G170="",NOT(ISNUMBER(I170))),"",G170*I170)</f>
        <v/>
      </c>
      <c r="K170" s="29" t="str">
        <f aca="false">IF(OR(J170="",$J$3=0),"",J170/$J$3)</f>
        <v/>
      </c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9" t="str">
        <f aca="false">IF(H171="","",IFERROR(INDEX(APU_Resumen!$C$6:$C$65,MATCH(H171,APU_Resumen!$A$6:$A$65,0)),""))</f>
        <v/>
      </c>
      <c r="G171" s="28"/>
      <c r="H171" s="17"/>
      <c r="I171" s="23" t="str">
        <f aca="false">IF(H171="","",IFERROR(INDEX(APU_Resumen!$H$6:$H$65,MATCH(H171,APU_Resumen!$A$6:$A$65,0)),"Sin APU"))</f>
        <v/>
      </c>
      <c r="J171" s="23" t="str">
        <f aca="false">IF(OR(G171="",NOT(ISNUMBER(I171))),"",G171*I171)</f>
        <v/>
      </c>
      <c r="K171" s="29" t="str">
        <f aca="false">IF(OR(J171="",$J$3=0),"",J171/$J$3)</f>
        <v/>
      </c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9" t="str">
        <f aca="false">IF(H172="","",IFERROR(INDEX(APU_Resumen!$C$6:$C$65,MATCH(H172,APU_Resumen!$A$6:$A$65,0)),""))</f>
        <v/>
      </c>
      <c r="G172" s="28"/>
      <c r="H172" s="17"/>
      <c r="I172" s="23" t="str">
        <f aca="false">IF(H172="","",IFERROR(INDEX(APU_Resumen!$H$6:$H$65,MATCH(H172,APU_Resumen!$A$6:$A$65,0)),"Sin APU"))</f>
        <v/>
      </c>
      <c r="J172" s="23" t="str">
        <f aca="false">IF(OR(G172="",NOT(ISNUMBER(I172))),"",G172*I172)</f>
        <v/>
      </c>
      <c r="K172" s="29" t="str">
        <f aca="false">IF(OR(J172="",$J$3=0),"",J172/$J$3)</f>
        <v/>
      </c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9" t="str">
        <f aca="false">IF(H173="","",IFERROR(INDEX(APU_Resumen!$C$6:$C$65,MATCH(H173,APU_Resumen!$A$6:$A$65,0)),""))</f>
        <v/>
      </c>
      <c r="G173" s="28"/>
      <c r="H173" s="17"/>
      <c r="I173" s="23" t="str">
        <f aca="false">IF(H173="","",IFERROR(INDEX(APU_Resumen!$H$6:$H$65,MATCH(H173,APU_Resumen!$A$6:$A$65,0)),"Sin APU"))</f>
        <v/>
      </c>
      <c r="J173" s="23" t="str">
        <f aca="false">IF(OR(G173="",NOT(ISNUMBER(I173))),"",G173*I173)</f>
        <v/>
      </c>
      <c r="K173" s="29" t="str">
        <f aca="false">IF(OR(J173="",$J$3=0),"",J173/$J$3)</f>
        <v/>
      </c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9" t="str">
        <f aca="false">IF(H174="","",IFERROR(INDEX(APU_Resumen!$C$6:$C$65,MATCH(H174,APU_Resumen!$A$6:$A$65,0)),""))</f>
        <v/>
      </c>
      <c r="G174" s="28"/>
      <c r="H174" s="17"/>
      <c r="I174" s="23" t="str">
        <f aca="false">IF(H174="","",IFERROR(INDEX(APU_Resumen!$H$6:$H$65,MATCH(H174,APU_Resumen!$A$6:$A$65,0)),"Sin APU"))</f>
        <v/>
      </c>
      <c r="J174" s="23" t="str">
        <f aca="false">IF(OR(G174="",NOT(ISNUMBER(I174))),"",G174*I174)</f>
        <v/>
      </c>
      <c r="K174" s="29" t="str">
        <f aca="false">IF(OR(J174="",$J$3=0),"",J174/$J$3)</f>
        <v/>
      </c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9" t="str">
        <f aca="false">IF(H175="","",IFERROR(INDEX(APU_Resumen!$C$6:$C$65,MATCH(H175,APU_Resumen!$A$6:$A$65,0)),""))</f>
        <v/>
      </c>
      <c r="G175" s="28"/>
      <c r="H175" s="17"/>
      <c r="I175" s="23" t="str">
        <f aca="false">IF(H175="","",IFERROR(INDEX(APU_Resumen!$H$6:$H$65,MATCH(H175,APU_Resumen!$A$6:$A$65,0)),"Sin APU"))</f>
        <v/>
      </c>
      <c r="J175" s="23" t="str">
        <f aca="false">IF(OR(G175="",NOT(ISNUMBER(I175))),"",G175*I175)</f>
        <v/>
      </c>
      <c r="K175" s="29" t="str">
        <f aca="false">IF(OR(J175="",$J$3=0),"",J175/$J$3)</f>
        <v/>
      </c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9" t="str">
        <f aca="false">IF(H176="","",IFERROR(INDEX(APU_Resumen!$C$6:$C$65,MATCH(H176,APU_Resumen!$A$6:$A$65,0)),""))</f>
        <v/>
      </c>
      <c r="G176" s="28"/>
      <c r="H176" s="17"/>
      <c r="I176" s="23" t="str">
        <f aca="false">IF(H176="","",IFERROR(INDEX(APU_Resumen!$H$6:$H$65,MATCH(H176,APU_Resumen!$A$6:$A$65,0)),"Sin APU"))</f>
        <v/>
      </c>
      <c r="J176" s="23" t="str">
        <f aca="false">IF(OR(G176="",NOT(ISNUMBER(I176))),"",G176*I176)</f>
        <v/>
      </c>
      <c r="K176" s="29" t="str">
        <f aca="false">IF(OR(J176="",$J$3=0),"",J176/$J$3)</f>
        <v/>
      </c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9" t="str">
        <f aca="false">IF(H177="","",IFERROR(INDEX(APU_Resumen!$C$6:$C$65,MATCH(H177,APU_Resumen!$A$6:$A$65,0)),""))</f>
        <v/>
      </c>
      <c r="G177" s="28"/>
      <c r="H177" s="17"/>
      <c r="I177" s="23" t="str">
        <f aca="false">IF(H177="","",IFERROR(INDEX(APU_Resumen!$H$6:$H$65,MATCH(H177,APU_Resumen!$A$6:$A$65,0)),"Sin APU"))</f>
        <v/>
      </c>
      <c r="J177" s="23" t="str">
        <f aca="false">IF(OR(G177="",NOT(ISNUMBER(I177))),"",G177*I177)</f>
        <v/>
      </c>
      <c r="K177" s="29" t="str">
        <f aca="false">IF(OR(J177="",$J$3=0),"",J177/$J$3)</f>
        <v/>
      </c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9" t="str">
        <f aca="false">IF(H178="","",IFERROR(INDEX(APU_Resumen!$C$6:$C$65,MATCH(H178,APU_Resumen!$A$6:$A$65,0)),""))</f>
        <v/>
      </c>
      <c r="G178" s="28"/>
      <c r="H178" s="17"/>
      <c r="I178" s="23" t="str">
        <f aca="false">IF(H178="","",IFERROR(INDEX(APU_Resumen!$H$6:$H$65,MATCH(H178,APU_Resumen!$A$6:$A$65,0)),"Sin APU"))</f>
        <v/>
      </c>
      <c r="J178" s="23" t="str">
        <f aca="false">IF(OR(G178="",NOT(ISNUMBER(I178))),"",G178*I178)</f>
        <v/>
      </c>
      <c r="K178" s="29" t="str">
        <f aca="false">IF(OR(J178="",$J$3=0),"",J178/$J$3)</f>
        <v/>
      </c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9" t="str">
        <f aca="false">IF(H179="","",IFERROR(INDEX(APU_Resumen!$C$6:$C$65,MATCH(H179,APU_Resumen!$A$6:$A$65,0)),""))</f>
        <v/>
      </c>
      <c r="G179" s="28"/>
      <c r="H179" s="17"/>
      <c r="I179" s="23" t="str">
        <f aca="false">IF(H179="","",IFERROR(INDEX(APU_Resumen!$H$6:$H$65,MATCH(H179,APU_Resumen!$A$6:$A$65,0)),"Sin APU"))</f>
        <v/>
      </c>
      <c r="J179" s="23" t="str">
        <f aca="false">IF(OR(G179="",NOT(ISNUMBER(I179))),"",G179*I179)</f>
        <v/>
      </c>
      <c r="K179" s="29" t="str">
        <f aca="false">IF(OR(J179="",$J$3=0),"",J179/$J$3)</f>
        <v/>
      </c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9" t="str">
        <f aca="false">IF(H180="","",IFERROR(INDEX(APU_Resumen!$C$6:$C$65,MATCH(H180,APU_Resumen!$A$6:$A$65,0)),""))</f>
        <v/>
      </c>
      <c r="G180" s="28"/>
      <c r="H180" s="17"/>
      <c r="I180" s="23" t="str">
        <f aca="false">IF(H180="","",IFERROR(INDEX(APU_Resumen!$H$6:$H$65,MATCH(H180,APU_Resumen!$A$6:$A$65,0)),"Sin APU"))</f>
        <v/>
      </c>
      <c r="J180" s="23" t="str">
        <f aca="false">IF(OR(G180="",NOT(ISNUMBER(I180))),"",G180*I180)</f>
        <v/>
      </c>
      <c r="K180" s="29" t="str">
        <f aca="false">IF(OR(J180="",$J$3=0),"",J180/$J$3)</f>
        <v/>
      </c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9" t="str">
        <f aca="false">IF(H181="","",IFERROR(INDEX(APU_Resumen!$C$6:$C$65,MATCH(H181,APU_Resumen!$A$6:$A$65,0)),""))</f>
        <v/>
      </c>
      <c r="G181" s="28"/>
      <c r="H181" s="17"/>
      <c r="I181" s="23" t="str">
        <f aca="false">IF(H181="","",IFERROR(INDEX(APU_Resumen!$H$6:$H$65,MATCH(H181,APU_Resumen!$A$6:$A$65,0)),"Sin APU"))</f>
        <v/>
      </c>
      <c r="J181" s="23" t="str">
        <f aca="false">IF(OR(G181="",NOT(ISNUMBER(I181))),"",G181*I181)</f>
        <v/>
      </c>
      <c r="K181" s="29" t="str">
        <f aca="false">IF(OR(J181="",$J$3=0),"",J181/$J$3)</f>
        <v/>
      </c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9" t="str">
        <f aca="false">IF(H182="","",IFERROR(INDEX(APU_Resumen!$C$6:$C$65,MATCH(H182,APU_Resumen!$A$6:$A$65,0)),""))</f>
        <v/>
      </c>
      <c r="G182" s="28"/>
      <c r="H182" s="17"/>
      <c r="I182" s="23" t="str">
        <f aca="false">IF(H182="","",IFERROR(INDEX(APU_Resumen!$H$6:$H$65,MATCH(H182,APU_Resumen!$A$6:$A$65,0)),"Sin APU"))</f>
        <v/>
      </c>
      <c r="J182" s="23" t="str">
        <f aca="false">IF(OR(G182="",NOT(ISNUMBER(I182))),"",G182*I182)</f>
        <v/>
      </c>
      <c r="K182" s="29" t="str">
        <f aca="false">IF(OR(J182="",$J$3=0),"",J182/$J$3)</f>
        <v/>
      </c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9" t="str">
        <f aca="false">IF(H183="","",IFERROR(INDEX(APU_Resumen!$C$6:$C$65,MATCH(H183,APU_Resumen!$A$6:$A$65,0)),""))</f>
        <v/>
      </c>
      <c r="G183" s="28"/>
      <c r="H183" s="17"/>
      <c r="I183" s="23" t="str">
        <f aca="false">IF(H183="","",IFERROR(INDEX(APU_Resumen!$H$6:$H$65,MATCH(H183,APU_Resumen!$A$6:$A$65,0)),"Sin APU"))</f>
        <v/>
      </c>
      <c r="J183" s="23" t="str">
        <f aca="false">IF(OR(G183="",NOT(ISNUMBER(I183))),"",G183*I183)</f>
        <v/>
      </c>
      <c r="K183" s="29" t="str">
        <f aca="false">IF(OR(J183="",$J$3=0),"",J183/$J$3)</f>
        <v/>
      </c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9" t="str">
        <f aca="false">IF(H184="","",IFERROR(INDEX(APU_Resumen!$C$6:$C$65,MATCH(H184,APU_Resumen!$A$6:$A$65,0)),""))</f>
        <v/>
      </c>
      <c r="G184" s="28"/>
      <c r="H184" s="17"/>
      <c r="I184" s="23" t="str">
        <f aca="false">IF(H184="","",IFERROR(INDEX(APU_Resumen!$H$6:$H$65,MATCH(H184,APU_Resumen!$A$6:$A$65,0)),"Sin APU"))</f>
        <v/>
      </c>
      <c r="J184" s="23" t="str">
        <f aca="false">IF(OR(G184="",NOT(ISNUMBER(I184))),"",G184*I184)</f>
        <v/>
      </c>
      <c r="K184" s="29" t="str">
        <f aca="false">IF(OR(J184="",$J$3=0),"",J184/$J$3)</f>
        <v/>
      </c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9" t="str">
        <f aca="false">IF(H185="","",IFERROR(INDEX(APU_Resumen!$C$6:$C$65,MATCH(H185,APU_Resumen!$A$6:$A$65,0)),""))</f>
        <v/>
      </c>
      <c r="G185" s="28"/>
      <c r="H185" s="17"/>
      <c r="I185" s="23" t="str">
        <f aca="false">IF(H185="","",IFERROR(INDEX(APU_Resumen!$H$6:$H$65,MATCH(H185,APU_Resumen!$A$6:$A$65,0)),"Sin APU"))</f>
        <v/>
      </c>
      <c r="J185" s="23" t="str">
        <f aca="false">IF(OR(G185="",NOT(ISNUMBER(I185))),"",G185*I185)</f>
        <v/>
      </c>
      <c r="K185" s="29" t="str">
        <f aca="false">IF(OR(J185="",$J$3=0),"",J185/$J$3)</f>
        <v/>
      </c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9" t="str">
        <f aca="false">IF(H186="","",IFERROR(INDEX(APU_Resumen!$C$6:$C$65,MATCH(H186,APU_Resumen!$A$6:$A$65,0)),""))</f>
        <v/>
      </c>
      <c r="G186" s="28"/>
      <c r="H186" s="17"/>
      <c r="I186" s="23" t="str">
        <f aca="false">IF(H186="","",IFERROR(INDEX(APU_Resumen!$H$6:$H$65,MATCH(H186,APU_Resumen!$A$6:$A$65,0)),"Sin APU"))</f>
        <v/>
      </c>
      <c r="J186" s="23" t="str">
        <f aca="false">IF(OR(G186="",NOT(ISNUMBER(I186))),"",G186*I186)</f>
        <v/>
      </c>
      <c r="K186" s="29" t="str">
        <f aca="false">IF(OR(J186="",$J$3=0),"",J186/$J$3)</f>
        <v/>
      </c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9" t="str">
        <f aca="false">IF(H187="","",IFERROR(INDEX(APU_Resumen!$C$6:$C$65,MATCH(H187,APU_Resumen!$A$6:$A$65,0)),""))</f>
        <v/>
      </c>
      <c r="G187" s="28"/>
      <c r="H187" s="17"/>
      <c r="I187" s="23" t="str">
        <f aca="false">IF(H187="","",IFERROR(INDEX(APU_Resumen!$H$6:$H$65,MATCH(H187,APU_Resumen!$A$6:$A$65,0)),"Sin APU"))</f>
        <v/>
      </c>
      <c r="J187" s="23" t="str">
        <f aca="false">IF(OR(G187="",NOT(ISNUMBER(I187))),"",G187*I187)</f>
        <v/>
      </c>
      <c r="K187" s="29" t="str">
        <f aca="false">IF(OR(J187="",$J$3=0),"",J187/$J$3)</f>
        <v/>
      </c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9" t="str">
        <f aca="false">IF(H188="","",IFERROR(INDEX(APU_Resumen!$C$6:$C$65,MATCH(H188,APU_Resumen!$A$6:$A$65,0)),""))</f>
        <v/>
      </c>
      <c r="G188" s="28"/>
      <c r="H188" s="17"/>
      <c r="I188" s="23" t="str">
        <f aca="false">IF(H188="","",IFERROR(INDEX(APU_Resumen!$H$6:$H$65,MATCH(H188,APU_Resumen!$A$6:$A$65,0)),"Sin APU"))</f>
        <v/>
      </c>
      <c r="J188" s="23" t="str">
        <f aca="false">IF(OR(G188="",NOT(ISNUMBER(I188))),"",G188*I188)</f>
        <v/>
      </c>
      <c r="K188" s="29" t="str">
        <f aca="false">IF(OR(J188="",$J$3=0),"",J188/$J$3)</f>
        <v/>
      </c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9" t="str">
        <f aca="false">IF(H189="","",IFERROR(INDEX(APU_Resumen!$C$6:$C$65,MATCH(H189,APU_Resumen!$A$6:$A$65,0)),""))</f>
        <v/>
      </c>
      <c r="G189" s="28"/>
      <c r="H189" s="17"/>
      <c r="I189" s="23" t="str">
        <f aca="false">IF(H189="","",IFERROR(INDEX(APU_Resumen!$H$6:$H$65,MATCH(H189,APU_Resumen!$A$6:$A$65,0)),"Sin APU"))</f>
        <v/>
      </c>
      <c r="J189" s="23" t="str">
        <f aca="false">IF(OR(G189="",NOT(ISNUMBER(I189))),"",G189*I189)</f>
        <v/>
      </c>
      <c r="K189" s="29" t="str">
        <f aca="false">IF(OR(J189="",$J$3=0),"",J189/$J$3)</f>
        <v/>
      </c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9" t="str">
        <f aca="false">IF(H190="","",IFERROR(INDEX(APU_Resumen!$C$6:$C$65,MATCH(H190,APU_Resumen!$A$6:$A$65,0)),""))</f>
        <v/>
      </c>
      <c r="G190" s="28"/>
      <c r="H190" s="17"/>
      <c r="I190" s="23" t="str">
        <f aca="false">IF(H190="","",IFERROR(INDEX(APU_Resumen!$H$6:$H$65,MATCH(H190,APU_Resumen!$A$6:$A$65,0)),"Sin APU"))</f>
        <v/>
      </c>
      <c r="J190" s="23" t="str">
        <f aca="false">IF(OR(G190="",NOT(ISNUMBER(I190))),"",G190*I190)</f>
        <v/>
      </c>
      <c r="K190" s="29" t="str">
        <f aca="false">IF(OR(J190="",$J$3=0),"",J190/$J$3)</f>
        <v/>
      </c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9" t="str">
        <f aca="false">IF(H191="","",IFERROR(INDEX(APU_Resumen!$C$6:$C$65,MATCH(H191,APU_Resumen!$A$6:$A$65,0)),""))</f>
        <v/>
      </c>
      <c r="G191" s="28"/>
      <c r="H191" s="17"/>
      <c r="I191" s="23" t="str">
        <f aca="false">IF(H191="","",IFERROR(INDEX(APU_Resumen!$H$6:$H$65,MATCH(H191,APU_Resumen!$A$6:$A$65,0)),"Sin APU"))</f>
        <v/>
      </c>
      <c r="J191" s="23" t="str">
        <f aca="false">IF(OR(G191="",NOT(ISNUMBER(I191))),"",G191*I191)</f>
        <v/>
      </c>
      <c r="K191" s="29" t="str">
        <f aca="false">IF(OR(J191="",$J$3=0),"",J191/$J$3)</f>
        <v/>
      </c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9" t="str">
        <f aca="false">IF(H192="","",IFERROR(INDEX(APU_Resumen!$C$6:$C$65,MATCH(H192,APU_Resumen!$A$6:$A$65,0)),""))</f>
        <v/>
      </c>
      <c r="G192" s="28"/>
      <c r="H192" s="17"/>
      <c r="I192" s="23" t="str">
        <f aca="false">IF(H192="","",IFERROR(INDEX(APU_Resumen!$H$6:$H$65,MATCH(H192,APU_Resumen!$A$6:$A$65,0)),"Sin APU"))</f>
        <v/>
      </c>
      <c r="J192" s="23" t="str">
        <f aca="false">IF(OR(G192="",NOT(ISNUMBER(I192))),"",G192*I192)</f>
        <v/>
      </c>
      <c r="K192" s="29" t="str">
        <f aca="false">IF(OR(J192="",$J$3=0),"",J192/$J$3)</f>
        <v/>
      </c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9" t="str">
        <f aca="false">IF(H193="","",IFERROR(INDEX(APU_Resumen!$C$6:$C$65,MATCH(H193,APU_Resumen!$A$6:$A$65,0)),""))</f>
        <v/>
      </c>
      <c r="G193" s="28"/>
      <c r="H193" s="17"/>
      <c r="I193" s="23" t="str">
        <f aca="false">IF(H193="","",IFERROR(INDEX(APU_Resumen!$H$6:$H$65,MATCH(H193,APU_Resumen!$A$6:$A$65,0)),"Sin APU"))</f>
        <v/>
      </c>
      <c r="J193" s="23" t="str">
        <f aca="false">IF(OR(G193="",NOT(ISNUMBER(I193))),"",G193*I193)</f>
        <v/>
      </c>
      <c r="K193" s="29" t="str">
        <f aca="false">IF(OR(J193="",$J$3=0),"",J193/$J$3)</f>
        <v/>
      </c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9" t="str">
        <f aca="false">IF(H194="","",IFERROR(INDEX(APU_Resumen!$C$6:$C$65,MATCH(H194,APU_Resumen!$A$6:$A$65,0)),""))</f>
        <v/>
      </c>
      <c r="G194" s="28"/>
      <c r="H194" s="17"/>
      <c r="I194" s="23" t="str">
        <f aca="false">IF(H194="","",IFERROR(INDEX(APU_Resumen!$H$6:$H$65,MATCH(H194,APU_Resumen!$A$6:$A$65,0)),"Sin APU"))</f>
        <v/>
      </c>
      <c r="J194" s="23" t="str">
        <f aca="false">IF(OR(G194="",NOT(ISNUMBER(I194))),"",G194*I194)</f>
        <v/>
      </c>
      <c r="K194" s="29" t="str">
        <f aca="false">IF(OR(J194="",$J$3=0),"",J194/$J$3)</f>
        <v/>
      </c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9" t="str">
        <f aca="false">IF(H195="","",IFERROR(INDEX(APU_Resumen!$C$6:$C$65,MATCH(H195,APU_Resumen!$A$6:$A$65,0)),""))</f>
        <v/>
      </c>
      <c r="G195" s="28"/>
      <c r="H195" s="17"/>
      <c r="I195" s="23" t="str">
        <f aca="false">IF(H195="","",IFERROR(INDEX(APU_Resumen!$H$6:$H$65,MATCH(H195,APU_Resumen!$A$6:$A$65,0)),"Sin APU"))</f>
        <v/>
      </c>
      <c r="J195" s="23" t="str">
        <f aca="false">IF(OR(G195="",NOT(ISNUMBER(I195))),"",G195*I195)</f>
        <v/>
      </c>
      <c r="K195" s="29" t="str">
        <f aca="false">IF(OR(J195="",$J$3=0),"",J195/$J$3)</f>
        <v/>
      </c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9" t="str">
        <f aca="false">IF(H196="","",IFERROR(INDEX(APU_Resumen!$C$6:$C$65,MATCH(H196,APU_Resumen!$A$6:$A$65,0)),""))</f>
        <v/>
      </c>
      <c r="G196" s="28"/>
      <c r="H196" s="17"/>
      <c r="I196" s="23" t="str">
        <f aca="false">IF(H196="","",IFERROR(INDEX(APU_Resumen!$H$6:$H$65,MATCH(H196,APU_Resumen!$A$6:$A$65,0)),"Sin APU"))</f>
        <v/>
      </c>
      <c r="J196" s="23" t="str">
        <f aca="false">IF(OR(G196="",NOT(ISNUMBER(I196))),"",G196*I196)</f>
        <v/>
      </c>
      <c r="K196" s="29" t="str">
        <f aca="false">IF(OR(J196="",$J$3=0),"",J196/$J$3)</f>
        <v/>
      </c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9" t="str">
        <f aca="false">IF(H197="","",IFERROR(INDEX(APU_Resumen!$C$6:$C$65,MATCH(H197,APU_Resumen!$A$6:$A$65,0)),""))</f>
        <v/>
      </c>
      <c r="G197" s="28"/>
      <c r="H197" s="17"/>
      <c r="I197" s="23" t="str">
        <f aca="false">IF(H197="","",IFERROR(INDEX(APU_Resumen!$H$6:$H$65,MATCH(H197,APU_Resumen!$A$6:$A$65,0)),"Sin APU"))</f>
        <v/>
      </c>
      <c r="J197" s="23" t="str">
        <f aca="false">IF(OR(G197="",NOT(ISNUMBER(I197))),"",G197*I197)</f>
        <v/>
      </c>
      <c r="K197" s="29" t="str">
        <f aca="false">IF(OR(J197="",$J$3=0),"",J197/$J$3)</f>
        <v/>
      </c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9" t="str">
        <f aca="false">IF(H198="","",IFERROR(INDEX(APU_Resumen!$C$6:$C$65,MATCH(H198,APU_Resumen!$A$6:$A$65,0)),""))</f>
        <v/>
      </c>
      <c r="G198" s="28"/>
      <c r="H198" s="17"/>
      <c r="I198" s="23" t="str">
        <f aca="false">IF(H198="","",IFERROR(INDEX(APU_Resumen!$H$6:$H$65,MATCH(H198,APU_Resumen!$A$6:$A$65,0)),"Sin APU"))</f>
        <v/>
      </c>
      <c r="J198" s="23" t="str">
        <f aca="false">IF(OR(G198="",NOT(ISNUMBER(I198))),"",G198*I198)</f>
        <v/>
      </c>
      <c r="K198" s="29" t="str">
        <f aca="false">IF(OR(J198="",$J$3=0),"",J198/$J$3)</f>
        <v/>
      </c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9" t="str">
        <f aca="false">IF(H199="","",IFERROR(INDEX(APU_Resumen!$C$6:$C$65,MATCH(H199,APU_Resumen!$A$6:$A$65,0)),""))</f>
        <v/>
      </c>
      <c r="G199" s="28"/>
      <c r="H199" s="17"/>
      <c r="I199" s="23" t="str">
        <f aca="false">IF(H199="","",IFERROR(INDEX(APU_Resumen!$H$6:$H$65,MATCH(H199,APU_Resumen!$A$6:$A$65,0)),"Sin APU"))</f>
        <v/>
      </c>
      <c r="J199" s="23" t="str">
        <f aca="false">IF(OR(G199="",NOT(ISNUMBER(I199))),"",G199*I199)</f>
        <v/>
      </c>
      <c r="K199" s="29" t="str">
        <f aca="false">IF(OR(J199="",$J$3=0),"",J199/$J$3)</f>
        <v/>
      </c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9" t="str">
        <f aca="false">IF(H200="","",IFERROR(INDEX(APU_Resumen!$C$6:$C$65,MATCH(H200,APU_Resumen!$A$6:$A$65,0)),""))</f>
        <v/>
      </c>
      <c r="G200" s="28"/>
      <c r="H200" s="17"/>
      <c r="I200" s="23" t="str">
        <f aca="false">IF(H200="","",IFERROR(INDEX(APU_Resumen!$H$6:$H$65,MATCH(H200,APU_Resumen!$A$6:$A$65,0)),"Sin APU"))</f>
        <v/>
      </c>
      <c r="J200" s="23" t="str">
        <f aca="false">IF(OR(G200="",NOT(ISNUMBER(I200))),"",G200*I200)</f>
        <v/>
      </c>
      <c r="K200" s="29" t="str">
        <f aca="false">IF(OR(J200="",$J$3=0),"",J200/$J$3)</f>
        <v/>
      </c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9" t="str">
        <f aca="false">IF(H201="","",IFERROR(INDEX(APU_Resumen!$C$6:$C$65,MATCH(H201,APU_Resumen!$A$6:$A$65,0)),""))</f>
        <v/>
      </c>
      <c r="G201" s="28"/>
      <c r="H201" s="17"/>
      <c r="I201" s="23" t="str">
        <f aca="false">IF(H201="","",IFERROR(INDEX(APU_Resumen!$H$6:$H$65,MATCH(H201,APU_Resumen!$A$6:$A$65,0)),"Sin APU"))</f>
        <v/>
      </c>
      <c r="J201" s="23" t="str">
        <f aca="false">IF(OR(G201="",NOT(ISNUMBER(I201))),"",G201*I201)</f>
        <v/>
      </c>
      <c r="K201" s="29" t="str">
        <f aca="false">IF(OR(J201="",$J$3=0),"",J201/$J$3)</f>
        <v/>
      </c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9" t="str">
        <f aca="false">IF(H202="","",IFERROR(INDEX(APU_Resumen!$C$6:$C$65,MATCH(H202,APU_Resumen!$A$6:$A$65,0)),""))</f>
        <v/>
      </c>
      <c r="G202" s="28"/>
      <c r="H202" s="17"/>
      <c r="I202" s="23" t="str">
        <f aca="false">IF(H202="","",IFERROR(INDEX(APU_Resumen!$H$6:$H$65,MATCH(H202,APU_Resumen!$A$6:$A$65,0)),"Sin APU"))</f>
        <v/>
      </c>
      <c r="J202" s="23" t="str">
        <f aca="false">IF(OR(G202="",NOT(ISNUMBER(I202))),"",G202*I202)</f>
        <v/>
      </c>
      <c r="K202" s="29" t="str">
        <f aca="false">IF(OR(J202="",$J$3=0),"",J202/$J$3)</f>
        <v/>
      </c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9" t="str">
        <f aca="false">IF(H203="","",IFERROR(INDEX(APU_Resumen!$C$6:$C$65,MATCH(H203,APU_Resumen!$A$6:$A$65,0)),""))</f>
        <v/>
      </c>
      <c r="G203" s="28"/>
      <c r="H203" s="17"/>
      <c r="I203" s="23" t="str">
        <f aca="false">IF(H203="","",IFERROR(INDEX(APU_Resumen!$H$6:$H$65,MATCH(H203,APU_Resumen!$A$6:$A$65,0)),"Sin APU"))</f>
        <v/>
      </c>
      <c r="J203" s="23" t="str">
        <f aca="false">IF(OR(G203="",NOT(ISNUMBER(I203))),"",G203*I203)</f>
        <v/>
      </c>
      <c r="K203" s="29" t="str">
        <f aca="false">IF(OR(J203="",$J$3=0),"",J203/$J$3)</f>
        <v/>
      </c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9" t="str">
        <f aca="false">IF(H204="","",IFERROR(INDEX(APU_Resumen!$C$6:$C$65,MATCH(H204,APU_Resumen!$A$6:$A$65,0)),""))</f>
        <v/>
      </c>
      <c r="G204" s="28"/>
      <c r="H204" s="17"/>
      <c r="I204" s="23" t="str">
        <f aca="false">IF(H204="","",IFERROR(INDEX(APU_Resumen!$H$6:$H$65,MATCH(H204,APU_Resumen!$A$6:$A$65,0)),"Sin APU"))</f>
        <v/>
      </c>
      <c r="J204" s="23" t="str">
        <f aca="false">IF(OR(G204="",NOT(ISNUMBER(I204))),"",G204*I204)</f>
        <v/>
      </c>
      <c r="K204" s="29" t="str">
        <f aca="false">IF(OR(J204="",$J$3=0),"",J204/$J$3)</f>
        <v/>
      </c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9" t="str">
        <f aca="false">IF(H205="","",IFERROR(INDEX(APU_Resumen!$C$6:$C$65,MATCH(H205,APU_Resumen!$A$6:$A$65,0)),""))</f>
        <v/>
      </c>
      <c r="G205" s="28"/>
      <c r="H205" s="17"/>
      <c r="I205" s="23" t="str">
        <f aca="false">IF(H205="","",IFERROR(INDEX(APU_Resumen!$H$6:$H$65,MATCH(H205,APU_Resumen!$A$6:$A$65,0)),"Sin APU"))</f>
        <v/>
      </c>
      <c r="J205" s="23" t="str">
        <f aca="false">IF(OR(G205="",NOT(ISNUMBER(I205))),"",G205*I205)</f>
        <v/>
      </c>
      <c r="K205" s="29" t="str">
        <f aca="false">IF(OR(J205="",$J$3=0),"",J205/$J$3)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7" t="s">
        <v>92</v>
      </c>
    </row>
    <row r="4" customFormat="false" ht="31.5" hidden="false" customHeight="true" outlineLevel="0" collapsed="false">
      <c r="A4" s="8" t="s">
        <v>79</v>
      </c>
      <c r="B4" s="8" t="s">
        <v>93</v>
      </c>
    </row>
    <row r="5" customFormat="false" ht="15" hidden="false" customHeight="false" outlineLevel="0" collapsed="false">
      <c r="A5" s="17" t="s">
        <v>94</v>
      </c>
      <c r="B5" s="23" t="n">
        <f aca="false">IF(A5="","",SUMIFS(Presupuesto!$J$6:$J$205,Presupuesto!$B$6:$B$205,A5))</f>
        <v>0</v>
      </c>
    </row>
    <row r="6" customFormat="false" ht="15" hidden="false" customHeight="false" outlineLevel="0" collapsed="false">
      <c r="A6" s="17" t="s">
        <v>87</v>
      </c>
      <c r="B6" s="23" t="n">
        <f aca="false">IF(A6="","",SUMIFS(Presupuesto!$J$6:$J$205,Presupuesto!$B$6:$B$205,A6))</f>
        <v>7157900</v>
      </c>
    </row>
    <row r="7" customFormat="false" ht="15" hidden="false" customHeight="false" outlineLevel="0" collapsed="false">
      <c r="A7" s="17" t="s">
        <v>95</v>
      </c>
      <c r="B7" s="23" t="n">
        <f aca="false">IF(A7="","",SUMIFS(Presupuesto!$J$6:$J$205,Presupuesto!$B$6:$B$205,A7))</f>
        <v>0</v>
      </c>
    </row>
    <row r="8" customFormat="false" ht="15" hidden="false" customHeight="false" outlineLevel="0" collapsed="false">
      <c r="A8" s="17" t="s">
        <v>96</v>
      </c>
      <c r="B8" s="23" t="n">
        <f aca="false">IF(A8="","",SUMIFS(Presupuesto!$J$6:$J$205,Presupuesto!$B$6:$B$205,A8))</f>
        <v>0</v>
      </c>
    </row>
    <row r="9" customFormat="false" ht="15" hidden="false" customHeight="false" outlineLevel="0" collapsed="false">
      <c r="A9" s="17" t="s">
        <v>97</v>
      </c>
      <c r="B9" s="23" t="n">
        <f aca="false">IF(A9="","",SUMIFS(Presupuesto!$J$6:$J$205,Presupuesto!$B$6:$B$205,A9))</f>
        <v>0</v>
      </c>
    </row>
    <row r="10" customFormat="false" ht="15" hidden="false" customHeight="false" outlineLevel="0" collapsed="false">
      <c r="A10" s="17" t="s">
        <v>98</v>
      </c>
      <c r="B10" s="23" t="n">
        <f aca="false">IF(A10="","",SUMIFS(Presupuesto!$J$6:$J$205,Presupuesto!$B$6:$B$205,A10))</f>
        <v>0</v>
      </c>
    </row>
    <row r="11" customFormat="false" ht="15" hidden="false" customHeight="false" outlineLevel="0" collapsed="false">
      <c r="A11" s="17"/>
      <c r="B11" s="23" t="str">
        <f aca="false">IF(A11="","",SUMIFS(Presupuesto!$J$6:$J$205,Presupuesto!$B$6:$B$205,A11))</f>
        <v/>
      </c>
    </row>
    <row r="12" customFormat="false" ht="15" hidden="false" customHeight="false" outlineLevel="0" collapsed="false">
      <c r="A12" s="17"/>
      <c r="B12" s="23" t="str">
        <f aca="false">IF(A12="","",SUMIFS(Presupuesto!$J$6:$J$205,Presupuesto!$B$6:$B$205,A12))</f>
        <v/>
      </c>
    </row>
    <row r="13" customFormat="false" ht="15" hidden="false" customHeight="false" outlineLevel="0" collapsed="false">
      <c r="A13" s="17"/>
      <c r="B13" s="23" t="str">
        <f aca="false">IF(A13="","",SUMIFS(Presupuesto!$J$6:$J$205,Presupuesto!$B$6:$B$205,A13))</f>
        <v/>
      </c>
    </row>
    <row r="14" customFormat="false" ht="15" hidden="false" customHeight="false" outlineLevel="0" collapsed="false">
      <c r="A14" s="17"/>
      <c r="B14" s="23" t="str">
        <f aca="false">IF(A14="","",SUMIFS(Presupuesto!$J$6:$J$205,Presupuesto!$B$6:$B$205,A14))</f>
        <v/>
      </c>
    </row>
    <row r="15" customFormat="false" ht="15" hidden="false" customHeight="false" outlineLevel="0" collapsed="false">
      <c r="A15" s="30" t="s">
        <v>99</v>
      </c>
      <c r="B15" s="31" t="n">
        <f aca="false">SUM(B5:B14)</f>
        <v>7157900</v>
      </c>
    </row>
    <row r="16" customFormat="false" ht="15" hidden="false" customHeight="false" outlineLevel="0" collapsed="false">
      <c r="A16" s="30" t="s">
        <v>100</v>
      </c>
      <c r="B16" s="31" t="n">
        <f aca="false">B15*Parametros!B4</f>
        <v>1073685</v>
      </c>
    </row>
    <row r="17" customFormat="false" ht="15" hidden="false" customHeight="false" outlineLevel="0" collapsed="false">
      <c r="A17" s="30" t="s">
        <v>101</v>
      </c>
      <c r="B17" s="31" t="n">
        <f aca="false">B15*Parametros!B5</f>
        <v>357895</v>
      </c>
    </row>
    <row r="18" customFormat="false" ht="15" hidden="false" customHeight="false" outlineLevel="0" collapsed="false">
      <c r="A18" s="30" t="s">
        <v>102</v>
      </c>
      <c r="B18" s="31" t="n">
        <f aca="false">B15*Parametros!B6</f>
        <v>357895</v>
      </c>
    </row>
    <row r="19" customFormat="false" ht="15" hidden="false" customHeight="false" outlineLevel="0" collapsed="false">
      <c r="A19" s="30" t="s">
        <v>23</v>
      </c>
      <c r="B19" s="31" t="n">
        <f aca="false">B18*Parametros!B7</f>
        <v>68000.05</v>
      </c>
    </row>
    <row r="20" customFormat="false" ht="15" hidden="false" customHeight="false" outlineLevel="0" collapsed="false">
      <c r="A20" s="30" t="s">
        <v>103</v>
      </c>
      <c r="B20" s="31" t="n">
        <f aca="false">B15+B16+B17+B18+B19</f>
        <v>9015375.05</v>
      </c>
    </row>
    <row r="21" customFormat="false" ht="15" hidden="false" customHeight="false" outlineLevel="0" collapsed="false">
      <c r="A21" s="30" t="s">
        <v>104</v>
      </c>
      <c r="B21" s="30" t="str">
        <f aca="false">IF(ROUND(Presupuesto!J3-B15,0)=0,"OK","Hay ítems sin capítulo")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2026-10-20T00:35:47Z</dcterms:created>
  <dc:creator>openpyxl</dc:creator>
  <dc:description/>
  <dc:language>en-US</dc:language>
  <cp:lastModifiedBy/>
  <dcterms:modified xsi:type="dcterms:W3CDTF">2026-10-20T00:35:48Z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